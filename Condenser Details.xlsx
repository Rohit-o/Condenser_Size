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RohitS\D_Drive\Engineering\Condenser Sizing\"/>
    </mc:Choice>
  </mc:AlternateContent>
  <bookViews>
    <workbookView xWindow="0" yWindow="0" windowWidth="19204" windowHeight="6532" firstSheet="3" activeTab="3"/>
  </bookViews>
  <sheets>
    <sheet name="Alpha" sheetId="1" state="hidden" r:id="rId1"/>
    <sheet name="ETA" sheetId="2" state="hidden" r:id="rId2"/>
    <sheet name="MPP-III" sheetId="4" state="hidden" r:id="rId3"/>
    <sheet name="Condenser_Size" sheetId="12" r:id="rId4"/>
    <sheet name="Data" sheetId="13" r:id="rId5"/>
    <sheet name="Information" sheetId="6" r:id="rId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 i="12" l="1"/>
  <c r="C13" i="12"/>
  <c r="C12" i="12"/>
  <c r="C11" i="12"/>
  <c r="B18" i="13"/>
  <c r="C20" i="12"/>
  <c r="F16" i="12"/>
  <c r="F11" i="12"/>
  <c r="F19" i="12" s="1"/>
  <c r="C19" i="12" l="1"/>
  <c r="C24" i="12" s="1"/>
  <c r="F12" i="12" l="1"/>
  <c r="B8" i="12" s="1"/>
  <c r="F18" i="12" l="1"/>
  <c r="F20" i="12" s="1"/>
  <c r="C23" i="12" s="1"/>
</calcChain>
</file>

<file path=xl/comments1.xml><?xml version="1.0" encoding="utf-8"?>
<comments xmlns="http://schemas.openxmlformats.org/spreadsheetml/2006/main">
  <authors>
    <author>Author</author>
  </authors>
  <commentList>
    <comment ref="B8" authorId="0" shapeId="0">
      <text>
        <r>
          <rPr>
            <b/>
            <sz val="9"/>
            <color indexed="81"/>
            <rFont val="Tahoma"/>
            <family val="2"/>
          </rPr>
          <t>Author:</t>
        </r>
        <r>
          <rPr>
            <sz val="9"/>
            <color indexed="81"/>
            <rFont val="Tahoma"/>
            <family val="2"/>
          </rPr>
          <t xml:space="preserve">
There is formula, Don’t dlt this cell</t>
        </r>
      </text>
    </comment>
  </commentList>
</comments>
</file>

<file path=xl/sharedStrings.xml><?xml version="1.0" encoding="utf-8"?>
<sst xmlns="http://schemas.openxmlformats.org/spreadsheetml/2006/main" count="627" uniqueCount="352">
  <si>
    <t>Reactor</t>
  </si>
  <si>
    <t>Vapour column</t>
  </si>
  <si>
    <t>Condenser</t>
  </si>
  <si>
    <t>Name</t>
  </si>
  <si>
    <t>Capacity (L)</t>
  </si>
  <si>
    <t>MoC</t>
  </si>
  <si>
    <t>MOC</t>
  </si>
  <si>
    <t>Insulation</t>
  </si>
  <si>
    <t>Primary</t>
  </si>
  <si>
    <r>
      <t>Area (m</t>
    </r>
    <r>
      <rPr>
        <vertAlign val="superscript"/>
        <sz val="11"/>
        <color theme="1"/>
        <rFont val="Calibri"/>
        <family val="2"/>
        <scheme val="minor"/>
      </rPr>
      <t>2</t>
    </r>
    <r>
      <rPr>
        <sz val="11"/>
        <color theme="1"/>
        <rFont val="Calibri"/>
        <family val="2"/>
        <scheme val="minor"/>
      </rPr>
      <t>)</t>
    </r>
  </si>
  <si>
    <t>Secondary</t>
  </si>
  <si>
    <t>Remarks</t>
  </si>
  <si>
    <t>20-R-18</t>
  </si>
  <si>
    <t>SS-316</t>
  </si>
  <si>
    <t>Insulated</t>
  </si>
  <si>
    <t>CW</t>
  </si>
  <si>
    <t>CHB</t>
  </si>
  <si>
    <t>NA</t>
  </si>
  <si>
    <t>20-R-01</t>
  </si>
  <si>
    <t>20-R-04</t>
  </si>
  <si>
    <t>20-R-23</t>
  </si>
  <si>
    <t>Sr. No.</t>
  </si>
  <si>
    <t>Equipmenit ID</t>
  </si>
  <si>
    <t>Capacity</t>
  </si>
  <si>
    <t>Jacket</t>
  </si>
  <si>
    <t>Vapour Column Insulation (Yes/No)</t>
  </si>
  <si>
    <t>Condenser details</t>
  </si>
  <si>
    <t>Utility</t>
  </si>
  <si>
    <t>Primary Condenser MOC/ Utility Surface area</t>
  </si>
  <si>
    <t>Secondary Condenser MOC/ Utility Surface area</t>
  </si>
  <si>
    <t xml:space="preserve">20-R-14 </t>
  </si>
  <si>
    <t>SS 316</t>
  </si>
  <si>
    <t>CW/ST/HW/BR/CHW</t>
  </si>
  <si>
    <t>Yes</t>
  </si>
  <si>
    <t>SS/Cooling/6 m²</t>
  </si>
  <si>
    <t>SS/Brine/3 m²</t>
  </si>
  <si>
    <t>AD-3 Pure Heating/  ET-3 distillation</t>
  </si>
  <si>
    <t>CW/ST/HW/BR</t>
  </si>
  <si>
    <t>AD-3/ET-3 distillation</t>
  </si>
  <si>
    <t>20-R-02</t>
  </si>
  <si>
    <t>CW/ST/BR</t>
  </si>
  <si>
    <t>AD-5A IPA distillation/ ET-1</t>
  </si>
  <si>
    <t>20-R-03</t>
  </si>
  <si>
    <t>CW/ST/CHW/BR</t>
  </si>
  <si>
    <t>SS/Brine/4m²</t>
  </si>
  <si>
    <t>Condenser not available</t>
  </si>
  <si>
    <t>AD-3/AD-4/ET-1</t>
  </si>
  <si>
    <t>CW/ST/HW/CHW/BR</t>
  </si>
  <si>
    <t>AD-3/AD-4/ET-2</t>
  </si>
  <si>
    <t>20-R-05</t>
  </si>
  <si>
    <t>AD-4/ET/AD-3 pure</t>
  </si>
  <si>
    <t>ET Distillation /       AD Disollution</t>
  </si>
  <si>
    <t>20-R-07</t>
  </si>
  <si>
    <t>MSGL</t>
  </si>
  <si>
    <t>No</t>
  </si>
  <si>
    <t>Glass/Cooling/2m²</t>
  </si>
  <si>
    <t>Glass/Brine/2m²</t>
  </si>
  <si>
    <t>AD  IPA Distillation  /Crystallization</t>
  </si>
  <si>
    <t>20-R-15</t>
  </si>
  <si>
    <t>CW/ST/    CHW/BR</t>
  </si>
  <si>
    <t>Condenser is not available</t>
  </si>
  <si>
    <t>AD-5/ET-7</t>
  </si>
  <si>
    <t>20-R-20</t>
  </si>
  <si>
    <t>LR-1 Quecher</t>
  </si>
  <si>
    <t>LP Toluene Distillation</t>
  </si>
  <si>
    <t>20-R-12</t>
  </si>
  <si>
    <t>Hydrogenator</t>
  </si>
  <si>
    <t>20-R-13</t>
  </si>
  <si>
    <t>20-R-22</t>
  </si>
  <si>
    <t>SS/Brine/4 m²</t>
  </si>
  <si>
    <t>Distillation, Reflux</t>
  </si>
  <si>
    <t>Toluene</t>
  </si>
  <si>
    <t>IPA</t>
  </si>
  <si>
    <t>Methanol</t>
  </si>
  <si>
    <t>Acetic acid</t>
  </si>
  <si>
    <t>Butanol</t>
  </si>
  <si>
    <t>Equipment ID</t>
  </si>
  <si>
    <t>Vapour Column Insulation (Yes/No)</t>
  </si>
  <si>
    <t>Steam</t>
  </si>
  <si>
    <t>Cooling Water</t>
  </si>
  <si>
    <t>Chill Brine </t>
  </si>
  <si>
    <t>hot oil</t>
  </si>
  <si>
    <t>Hot  Water </t>
  </si>
  <si>
    <t>CHILLED WATER</t>
  </si>
  <si>
    <t>25-R-02</t>
  </si>
  <si>
    <t>Y</t>
  </si>
  <si>
    <t>N</t>
  </si>
  <si>
    <t>SS/Cooling/               12 sq. m</t>
  </si>
  <si>
    <t>SS/Brine/               1.5 sq. m</t>
  </si>
  <si>
    <t>Toluene Distillation </t>
  </si>
  <si>
    <t>25-R-03</t>
  </si>
  <si>
    <t>SS/Chilling/               12 sq. m</t>
  </si>
  <si>
    <t>25-R-04</t>
  </si>
  <si>
    <t>MSGLR</t>
  </si>
  <si>
    <t>Graphite/Cooling/               9 sq. m</t>
  </si>
  <si>
    <t>Glass/Brine/               2.5 sq. m (Vertical)</t>
  </si>
  <si>
    <t>HZ final -</t>
  </si>
  <si>
    <t>Methanol Distiilation </t>
  </si>
  <si>
    <t>25-R-06</t>
  </si>
  <si>
    <t>SS/Cooling/               6 sq. m</t>
  </si>
  <si>
    <t>-</t>
  </si>
  <si>
    <t>FH-5 Distillation </t>
  </si>
  <si>
    <t>25-R-08</t>
  </si>
  <si>
    <t>Glass/Coolin/               10 sq. m</t>
  </si>
  <si>
    <t>Glass/Brine/               2.5 sq. m</t>
  </si>
  <si>
    <t>25-R-09</t>
  </si>
  <si>
    <t>y</t>
  </si>
  <si>
    <t>Glass/Cooling/               20 sq. m</t>
  </si>
  <si>
    <t>Glass/Brine/               7 sq. m</t>
  </si>
  <si>
    <t>RH Final Methanol Distillation </t>
  </si>
  <si>
    <t>25-R-10</t>
  </si>
  <si>
    <t>25-R-13</t>
  </si>
  <si>
    <t>SS/Chilling/               14 sq. m</t>
  </si>
  <si>
    <t>25-R-14</t>
  </si>
  <si>
    <t>Methanol Distillation, EDC Distillation  </t>
  </si>
  <si>
    <t>25-R-15</t>
  </si>
  <si>
    <t>Glass/Cooling/               2.5 sq. m</t>
  </si>
  <si>
    <t>MDC+ TC distillation </t>
  </si>
  <si>
    <t>25-R-16</t>
  </si>
  <si>
    <t>SS/Brine/               
9 sq. m</t>
  </si>
  <si>
    <t>Glass/Cooling/
2.5 sq. m</t>
  </si>
  <si>
    <r>
      <t>Boiling Point (</t>
    </r>
    <r>
      <rPr>
        <sz val="11"/>
        <color theme="1"/>
        <rFont val="Calibri"/>
        <family val="2"/>
      </rPr>
      <t>◦C)</t>
    </r>
  </si>
  <si>
    <t>Latent Heat of Vaporization (kcal/kg)</t>
  </si>
  <si>
    <t>Volume of distillation (L)</t>
  </si>
  <si>
    <t>Density of substance (kg/L)</t>
  </si>
  <si>
    <r>
      <t>Inlet Temp (</t>
    </r>
    <r>
      <rPr>
        <sz val="11"/>
        <color theme="1"/>
        <rFont val="Calibri"/>
        <family val="2"/>
      </rPr>
      <t>ᵒC)</t>
    </r>
  </si>
  <si>
    <t>Outlet Temp (ᵒC)</t>
  </si>
  <si>
    <t>time of distillation (hr)</t>
  </si>
  <si>
    <t>vapor rate (L/hr)</t>
  </si>
  <si>
    <t>U (kcal/hr.m2.K)</t>
  </si>
  <si>
    <t>SS/Chilling/               
9 sq. m</t>
  </si>
  <si>
    <t>∆Tlm</t>
  </si>
  <si>
    <t>Outlet Temp</t>
  </si>
  <si>
    <t>Cp (kcal/kg)</t>
  </si>
  <si>
    <t>Cp</t>
  </si>
  <si>
    <t>Q(kcal/hr)_latent+Cp</t>
  </si>
  <si>
    <t>You're asking the right questions about the practical application of heat exchanger design principles! It highlights a common challenge in engineering: going from a desired outcome (a specific outlet temperature,</t>
  </si>
  <si>
    <t>Th,ocap T sub h comma o end-sub</t>
  </si>
  <si>
    <t>𝑇ℎ,𝑜</t>
  </si>
  <si>
    <t>) to the required physical dimensions (</t>
  </si>
  <si>
    <t>Acap A</t>
  </si>
  <si>
    <t>𝐴</t>
  </si>
  <si>
    <t>). </t>
  </si>
  <si>
    <t>Here's a clearer approach to sizing a condenser when you have a target hot fluid outlet temperature (</t>
  </si>
  <si>
    <t>), along with other knowns: </t>
  </si>
  <si>
    <t>1. Calculate the Required Heat Duty (Q):</t>
  </si>
  <si>
    <t>First, you need to determine the amount of heat that must be removed from the hot fluid to achieve the desired outlet temperature.</t>
  </si>
  <si>
    <t xml:space="preserve">For the condensing part: </t>
  </si>
  <si>
    <t>Qcond=ṁh*λcap Q sub c o n d end-sub equals m dot sub h * lambda</t>
  </si>
  <si>
    <t>𝑄𝑐𝑜𝑛𝑑=𝑚̇ℎ*𝜆</t>
  </si>
  <si>
    <t>(latent heat of vaporization)</t>
  </si>
  <si>
    <t xml:space="preserve">For subcooling (if applicable): </t>
  </si>
  <si>
    <t>Qsubcool=ṁh*Cp,h*(Tcond−Th,o)cap Q sub s u b c o o l end-sub equals m dot sub h * cap C sub p comma h end-sub * open paren cap T sub c o n d end-sub minus cap T sub h comma o end-sub close paren</t>
  </si>
  <si>
    <t>𝑄𝑠𝑢𝑏𝑐𝑜𝑜𝑙=𝑚̇ℎ*𝐶𝑝,ℎ*(𝑇𝑐𝑜𝑛𝑑−𝑇ℎ,𝑜)</t>
  </si>
  <si>
    <t xml:space="preserve">The total heat duty is </t>
  </si>
  <si>
    <t>Qtotal=Qcond+Qsubcoolcap Q sub t o t a l end-sub equals cap Q sub c o n d end-sub plus cap Q sub s u b c o o l end-sub</t>
  </si>
  <si>
    <t>𝑄𝑡𝑜𝑡𝑎𝑙=𝑄𝑐𝑜𝑛𝑑+𝑄𝑠𝑢𝑏𝑐𝑜𝑜𝑙</t>
  </si>
  <si>
    <t>.</t>
  </si>
  <si>
    <t>You have the mass flow rate (</t>
  </si>
  <si>
    <t>ṁhm dot sub h</t>
  </si>
  <si>
    <t>𝑚̇ℎ</t>
  </si>
  <si>
    <t>), the latent heat (</t>
  </si>
  <si>
    <t>λlambda</t>
  </si>
  <si>
    <t>𝜆</t>
  </si>
  <si>
    <t>), the specific heat capacity (</t>
  </si>
  <si>
    <t>Cp,hcap C sub p comma h end-sub</t>
  </si>
  <si>
    <t>𝐶𝑝,ℎ</t>
  </si>
  <si>
    <t>), and the desired inlet (</t>
  </si>
  <si>
    <t>Th,icap T sub h comma i end-sub</t>
  </si>
  <si>
    <t>𝑇ℎ,𝑖</t>
  </si>
  <si>
    <t>) and outlet (</t>
  </si>
  <si>
    <t>) temperatures for the hot fluid.</t>
  </si>
  <si>
    <t>2. Determine the Cold Fluid Outlet Temperature (</t>
  </si>
  <si>
    <t>Tc,ocap T sub c comma o end-sub</t>
  </si>
  <si>
    <t>𝑇𝑐,𝑜</t>
  </si>
  <si>
    <t>):</t>
  </si>
  <si>
    <t>Assuming you know the inlet temperature of the cooling fluid (</t>
  </si>
  <si>
    <t>Tc,icap T sub c comma i end-sub</t>
  </si>
  <si>
    <t>𝑇𝑐,𝑖</t>
  </si>
  <si>
    <t>), its mass flow rate (</t>
  </si>
  <si>
    <t>ṁcm dot sub c</t>
  </si>
  <si>
    <t>𝑚̇𝑐</t>
  </si>
  <si>
    <t>), and its specific heat capacity (</t>
  </si>
  <si>
    <t>Cp,ccap C sub p comma c end-sub</t>
  </si>
  <si>
    <t>𝐶𝑝,𝑐</t>
  </si>
  <si>
    <t>), you can use an energy balance to find its outlet temperature.</t>
  </si>
  <si>
    <t>Qtotal=ṁc*Cp,c*(Tc,o−Tc,i)cap Q sub t o t a l end-sub equals m dot sub c * cap C sub p comma c end-sub * open paren cap T sub c comma o end-sub minus cap T sub c comma i end-sub close paren</t>
  </si>
  <si>
    <t>𝑄𝑡𝑜𝑡𝑎𝑙=𝑚̇𝑐*𝐶𝑝,𝑐*(𝑇𝑐,𝑜−𝑇𝑐,𝑖)</t>
  </si>
  <si>
    <t xml:space="preserve">Rearranging to find </t>
  </si>
  <si>
    <t xml:space="preserve">: </t>
  </si>
  <si>
    <t>Tc,o=Tc,i+Qtotal/(ṁc*Cp,c)cap T sub c comma o end-sub equals cap T sub c comma i end-sub plus cap Q sub t o t a l end-sub / open paren m dot sub c * cap C sub p comma c end-sub close paren</t>
  </si>
  <si>
    <t>𝑇𝑐,𝑜=𝑇𝑐,𝑖+𝑄𝑡𝑜𝑡𝑎𝑙/(𝑚̇𝑐*𝐶𝑝,𝑐)</t>
  </si>
  <si>
    <t>3. Calculate the Log Mean Temperature Difference (LMTD):</t>
  </si>
  <si>
    <t>With all four temperatures known (hot inlet/outlet, cold inlet/outlet), you can calculate the LMTD for the condenser.</t>
  </si>
  <si>
    <t xml:space="preserve">For a counter-current flow: </t>
  </si>
  <si>
    <t>ΔTlm=(Th,i−Tc,o)−(Th,o−Tc,i)ln(Th,i−Tc,o)(Th,o−Tc,i)cap delta cap T sub l m end-sub equals the fraction with numerator open paren cap T sub h comma i end-sub minus cap T sub c comma o end-sub close paren minus open paren cap T sub h comma o end-sub minus cap T sub c comma i end-sub close paren and denominator l n the fraction with numerator open paren cap T sub h comma i end-sub minus cap T sub c comma o end-sub close paren and denominator open paren cap T sub h comma o end-sub minus cap T sub c comma i end-sub close paren end-fraction end-fraction</t>
  </si>
  <si>
    <t>Δ𝑇𝑙𝑚=(𝑇ℎ,𝑖−𝑇𝑐,𝑜)−(𝑇ℎ,𝑜−𝑇𝑐,𝑖)𝑙𝑛(𝑇ℎ,𝑖−𝑇𝑐,𝑜)(𝑇ℎ,𝑜−𝑇𝑐,𝑖)</t>
  </si>
  <si>
    <t xml:space="preserve">For a parallel flow: </t>
  </si>
  <si>
    <t>ΔTlm=(Th,i−Tc,i)−(Th,o−Tc,o)ln(Th,i−Tc,i)(Th,o−Tc,o)cap delta cap T sub l m end-sub equals the fraction with numerator open paren cap T sub h comma i end-sub minus cap T sub c comma i end-sub close paren minus open paren cap T sub h comma o end-sub minus cap T sub c comma o end-sub close paren and denominator l n the fraction with numerator open paren cap T sub h comma i end-sub minus cap T sub c comma i end-sub close paren and denominator open paren cap T sub h comma o end-sub minus cap T sub c comma o end-sub close paren end-fraction end-fraction</t>
  </si>
  <si>
    <t>Δ𝑇𝑙𝑚=(𝑇ℎ,𝑖−𝑇𝑐,𝑖)−(𝑇ℎ,𝑜−𝑇𝑐,𝑜)𝑙𝑛(𝑇ℎ,𝑖−𝑇𝑐,𝑖)(𝑇ℎ,𝑜−𝑇𝑐,𝑜)</t>
  </si>
  <si>
    <t>Note that the LMTD might need a correction factor (</t>
  </si>
  <si>
    <t>FTcap F sub cap T</t>
  </si>
  <si>
    <t>𝐹𝑇</t>
  </si>
  <si>
    <t>) depending on the heat exchanger configuration (e.g., shell and tube with multiple passes).</t>
  </si>
  <si>
    <t>4. Estimate the Overall Heat Transfer Coefficient (U):</t>
  </si>
  <si>
    <t>This is often the most challenging part. U depends on the fluids involved, flow rates, tube material, and fouling factors. You can use correlations or empirical data to estimate it. It's often an iterative process where you assume a value, calculate the area, and then refine U based on the calculated area and the geometry.</t>
  </si>
  <si>
    <t>5. Calculate the Required Area (A):</t>
  </si>
  <si>
    <t>Finally, using the fundamental heat transfer equation:</t>
  </si>
  <si>
    <t>A=Qtotal/(U*ΔTlm)cap A equals cap Q sub t o t a l end-sub / open paren cap U * cap delta cap T sub l m end-sub close paren</t>
  </si>
  <si>
    <t>𝐴=𝑄𝑡𝑜𝑡𝑎𝑙/(𝑈*Δ𝑇𝑙𝑚)</t>
  </si>
  <si>
    <t>This gives you the required heat transfer area to achieve your desired outlet temperature. </t>
  </si>
  <si>
    <r>
      <t>Key takeaway:</t>
    </r>
    <r>
      <rPr>
        <sz val="11"/>
        <color theme="1"/>
        <rFont val="Calibri"/>
        <family val="2"/>
        <scheme val="minor"/>
      </rPr>
      <t xml:space="preserve"> You're not fixing 'A' and then seeing for </t>
    </r>
  </si>
  <si>
    <t xml:space="preserve">. You're setting the desired </t>
  </si>
  <si>
    <t>(and other parameters) and then calculating the required area 'A' to achieve that. The process can be iterative, especially when estimating 'U', where you might start with an assumed 'U', calculate 'A', then use 'A' to refine 'U', and so on until convergence. </t>
  </si>
  <si>
    <t>AI responses may include mistakes. Learn more</t>
  </si>
  <si>
    <t>Thank you</t>
  </si>
  <si>
    <t>Your feedback helps Google improve. See our Privacy Policy.</t>
  </si>
  <si>
    <t>Share more feedbackReport a problemClose</t>
  </si>
  <si>
    <t>9 sites</t>
  </si>
  <si>
    <t>Condenser design : calculation method - My Engineering Tools</t>
  </si>
  <si>
    <t>2.1 STEP 1 : get the design data. The following data must be defined in order to check the design, or size a condenser : * Fluid properties (viscosity, specific...</t>
  </si>
  <si>
    <t>My Engineering Tools</t>
  </si>
  <si>
    <t>Shell and Tube Heat Exchangers Basic Calculations</t>
  </si>
  <si>
    <t>Where: A = Heat transfer area (m²) (ft²); Q = Heat transfer rate (kJ/h) (Btu\h); U = Overall heat transfer coefficient (kJ/h. m². °C) (Btu/h°F); ΔTm = Log mean ...</t>
  </si>
  <si>
    <t>PDH Online</t>
  </si>
  <si>
    <t>Heat Exchanger Design: Principles, Calculations &amp; Methods</t>
  </si>
  <si>
    <t>Poor design can lead to increased energy consumption and operational issues. * Step 1: Gather Initial Data. The first step in heat exchanger design is gathering...</t>
  </si>
  <si>
    <t>www.unitedcoolingtower.com</t>
  </si>
  <si>
    <t>HEAT TRANSFER AND HEAT EXCHANGERS - ScienceDirect</t>
  </si>
  <si>
    <t>8.1. CONDUCTION OF HEAT. In a solid wall such as Figure 8.1(a), the variation of temperature with time and position is represented by the one-dimensional Fourie...</t>
  </si>
  <si>
    <t>ScienceDirect.com</t>
  </si>
  <si>
    <t>Design procedure for a shell and tube heat exchanger</t>
  </si>
  <si>
    <t>* • After estimating the inside (ℎ𝑖) and outside (ℎ𝑜) heat transfer coefficients, the clean overall coefficient (𝑈𝐶 ) is estimated. 1. 𝑈𝐶 = 𝑟𝑜 𝑟𝑖ℎ𝑖 +</t>
  </si>
  <si>
    <t>Chhatrapati Shahu Ji Maharaj University, Kanpur</t>
  </si>
  <si>
    <t>Heat Exchange Area - an overview | ScienceDirect Topics</t>
  </si>
  <si>
    <t>* 13.2. 6.2 Heat exchange area. The heat exchange area can be estimated from the balanced CCs. The simplest manner is adopting the hypothesis of counter-current...</t>
  </si>
  <si>
    <t>Heat Exchanger Calculation - SACOME</t>
  </si>
  <si>
    <t>Sep 26, 2017 — Thermal design of the heat exchanger. Starting from the definition of the heat exchanger, the key task for the designer is the sizing of the heat exchanger. The...</t>
  </si>
  <si>
    <t>www.sacome.com</t>
  </si>
  <si>
    <t>Design Calculation of Heat Exchanger | Weight - Tubotech Stainless Inc.</t>
  </si>
  <si>
    <t>Design Calculation of Heat Exchanger. What is Design Calculation of Heat Exchanger ? Design calculations for a heat exchanger are vital for optimizing thermal o...</t>
  </si>
  <si>
    <t>Tubotech Stainless Inc.</t>
  </si>
  <si>
    <t>How to determine the outlet air temperature on a fin fan, given ...</t>
  </si>
  <si>
    <t>Jun 23, 2020 — * First, calculate the heat load (Btu/hr) on the process side as follows: * Q = M X Cp X (T1 - T2) * where M = mass flow in lbm/hr. * Cp = specific heat in Btu/</t>
  </si>
  <si>
    <t>Quora</t>
  </si>
  <si>
    <t>Show all</t>
  </si>
  <si>
    <t>i did same in this case whenever i am increasing outlest temp my area is decreasing which is opposit eof intution</t>
  </si>
  <si>
    <t>Thinking</t>
  </si>
  <si>
    <t>Kicking off 6 searches</t>
  </si>
  <si>
    <t>Looking at 93 sites</t>
  </si>
  <si>
    <t>Putting it all together</t>
  </si>
  <si>
    <t>You've hit upon a key design constraint and a point where intuition can sometimes mislead in heat exchanger calculations!</t>
  </si>
  <si>
    <t>The seeming paradox arises because of how the Log Mean Temperature Difference (</t>
  </si>
  <si>
    <t>ΔTlmcap delta cap T sub l m end-sub</t>
  </si>
  <si>
    <t>Δ𝑇𝑙𝑚</t>
  </si>
  <si>
    <t>) behaves. </t>
  </si>
  <si>
    <t>Let's revisit the fundamental equation:</t>
  </si>
  <si>
    <t>Q=U*A*ΔTlmcap Q equals cap U * cap A * cap delta cap T sub l m end-sub</t>
  </si>
  <si>
    <t>𝑄=𝑈*𝐴*Δ𝑇𝑙𝑚</t>
  </si>
  <si>
    <t>Where: </t>
  </si>
  <si>
    <t>Qcap Q</t>
  </si>
  <si>
    <t>𝑄</t>
  </si>
  <si>
    <t>is the heat transfer rate (duty)</t>
  </si>
  <si>
    <t>Ucap U</t>
  </si>
  <si>
    <t>𝑈</t>
  </si>
  <si>
    <t>is the overall heat transfer coefficient</t>
  </si>
  <si>
    <t>is the heat transfer area</t>
  </si>
  <si>
    <t>is the log mean temperature difference </t>
  </si>
  <si>
    <r>
      <t>The Core of the "Paradox":</t>
    </r>
    <r>
      <rPr>
        <sz val="11"/>
        <color theme="1"/>
        <rFont val="Calibri"/>
        <family val="2"/>
        <scheme val="minor"/>
      </rPr>
      <t> </t>
    </r>
  </si>
  <si>
    <r>
      <t xml:space="preserve">When you </t>
    </r>
    <r>
      <rPr>
        <i/>
        <sz val="11"/>
        <color theme="1"/>
        <rFont val="Calibri"/>
        <family val="2"/>
        <scheme val="minor"/>
      </rPr>
      <t>allow</t>
    </r>
    <r>
      <rPr>
        <sz val="11"/>
        <color theme="1"/>
        <rFont val="Calibri"/>
        <family val="2"/>
        <scheme val="minor"/>
      </rPr>
      <t xml:space="preserve"> the outlet temperature (</t>
    </r>
  </si>
  <si>
    <t>) of the hot substance to increase, it means less heat (</t>
  </si>
  <si>
    <r>
      <t xml:space="preserve">) is being removed from it. This seems counterintuitive because our goal is usually to remove </t>
    </r>
    <r>
      <rPr>
        <i/>
        <sz val="11"/>
        <color theme="1"/>
        <rFont val="Calibri"/>
        <family val="2"/>
        <scheme val="minor"/>
      </rPr>
      <t>more</t>
    </r>
    <r>
      <rPr>
        <sz val="11"/>
        <color theme="1"/>
        <rFont val="Calibri"/>
        <family val="2"/>
        <scheme val="minor"/>
      </rPr>
      <t xml:space="preserve"> heat for better cooling. </t>
    </r>
  </si>
  <si>
    <t>Here's the breakdown of why the calculated area (</t>
  </si>
  <si>
    <t>) would then decrease: </t>
  </si>
  <si>
    <t xml:space="preserve">1. Lower Heat Duty (Q) for a Higher </t>
  </si>
  <si>
    <t>:</t>
  </si>
  <si>
    <t>If you're increasing the hot outlet temperature, you're essentially saying you don't need to cool the substance as much. Therefore, the heat duty (</t>
  </si>
  <si>
    <t>) required to be transferred in the condenser decreases.</t>
  </si>
  <si>
    <t>2. Increased Log Mean Temperature Difference (</t>
  </si>
  <si>
    <t>This is the tricky part. As the outlet temperature of the hot fluid (</t>
  </si>
  <si>
    <t xml:space="preserve">) increases, the temperature difference between the hot and cold fluids at the outlet end of the condenser (ΔT₂) will increase. This larger difference at one end, combined with the other end's differences, leads to a higher overall </t>
  </si>
  <si>
    <t>value.</t>
  </si>
  <si>
    <t>3. Solving for Area (A):</t>
  </si>
  <si>
    <t xml:space="preserve">Rearranging the equation: </t>
  </si>
  <si>
    <t>A=Q/(U*ΔTlm)cap A equals cap Q / open paren cap U * cap delta cap T sub l m end-sub close paren</t>
  </si>
  <si>
    <t>𝐴=𝑄/(𝑈*Δ𝑇𝑙𝑚)</t>
  </si>
  <si>
    <t>You have two opposing effects:</t>
  </si>
  <si>
    <t>(heat duty) is decreasing.</t>
  </si>
  <si>
    <t>is increasing.</t>
  </si>
  <si>
    <t xml:space="preserve">In the scenario you describe (increasing outlet temperature means less cooling), the decrease in </t>
  </si>
  <si>
    <t xml:space="preserve">is more pronounced than the increase in </t>
  </si>
  <si>
    <t>, resulting in a smaller calculated area (</t>
  </si>
  <si>
    <r>
      <t xml:space="preserve">) needed to achieve that </t>
    </r>
    <r>
      <rPr>
        <i/>
        <sz val="11"/>
        <color theme="1"/>
        <rFont val="Calibri"/>
        <family val="2"/>
        <scheme val="minor"/>
      </rPr>
      <t>reduced</t>
    </r>
    <r>
      <rPr>
        <sz val="11"/>
        <color theme="1"/>
        <rFont val="Calibri"/>
        <family val="2"/>
        <scheme val="minor"/>
      </rPr>
      <t xml:space="preserve"> heat duty. </t>
    </r>
  </si>
  <si>
    <r>
      <t>The Intuitive vs. Calculative Discrepancy:</t>
    </r>
    <r>
      <rPr>
        <sz val="11"/>
        <color theme="1"/>
        <rFont val="Calibri"/>
        <family val="2"/>
        <scheme val="minor"/>
      </rPr>
      <t> </t>
    </r>
  </si>
  <si>
    <t>Your intuition tells you that to get a lower outlet temperature, you need a larger condenser. This is absolutely correct from a design perspective: to achieve a greater degree of cooling, you must remove more heat, which necessitates a larger heat transfer area. </t>
  </si>
  <si>
    <r>
      <t xml:space="preserve">The calculation you're performing, where increasing the outlet temperature leads to a smaller area, describes the area required if you </t>
    </r>
    <r>
      <rPr>
        <i/>
        <sz val="11"/>
        <color theme="1"/>
        <rFont val="Calibri"/>
        <family val="2"/>
        <scheme val="minor"/>
      </rPr>
      <t>accept</t>
    </r>
    <r>
      <rPr>
        <sz val="11"/>
        <color theme="1"/>
        <rFont val="Calibri"/>
        <family val="2"/>
        <scheme val="minor"/>
      </rPr>
      <t xml:space="preserve"> that higher outlet temperature. It's not about achieving better cooling but about meeting a reduced cooling requirement. </t>
    </r>
  </si>
  <si>
    <r>
      <t>In essence:</t>
    </r>
    <r>
      <rPr>
        <sz val="11"/>
        <color theme="1"/>
        <rFont val="Calibri"/>
        <family val="2"/>
        <scheme val="minor"/>
      </rPr>
      <t> </t>
    </r>
  </si>
  <si>
    <r>
      <t>If your goal is to lower the outlet temperature:</t>
    </r>
    <r>
      <rPr>
        <sz val="11"/>
        <color theme="1"/>
        <rFont val="Calibri"/>
        <family val="2"/>
        <scheme val="minor"/>
      </rPr>
      <t xml:space="preserve"> You need to </t>
    </r>
    <r>
      <rPr>
        <i/>
        <sz val="11"/>
        <color theme="1"/>
        <rFont val="Calibri"/>
        <family val="2"/>
        <scheme val="minor"/>
      </rPr>
      <t>increase</t>
    </r>
    <r>
      <rPr>
        <sz val="11"/>
        <color theme="1"/>
        <rFont val="Calibri"/>
        <family val="2"/>
        <scheme val="minor"/>
      </rPr>
      <t xml:space="preserve"> the heat transfer area (</t>
    </r>
  </si>
  <si>
    <t>) to remove more heat (</t>
  </si>
  <si>
    <t xml:space="preserve">) from the hot fluid. This will also decrease the outlet temperature and potentially lead to a smaller </t>
  </si>
  <si>
    <t>for a more difficult heat transfer scenario if all other variables remain the same.</t>
  </si>
  <si>
    <r>
      <t>If you allow the outlet temperature to rise:</t>
    </r>
    <r>
      <rPr>
        <sz val="11"/>
        <color theme="1"/>
        <rFont val="Calibri"/>
        <family val="2"/>
        <scheme val="minor"/>
      </rPr>
      <t xml:space="preserve"> The amount of heat (</t>
    </r>
  </si>
  <si>
    <t>) that needs to be removed decreases, and the temperature driving force (</t>
  </si>
  <si>
    <r>
      <t xml:space="preserve">) available for heat transfer increases. These combined effects can lead to a </t>
    </r>
    <r>
      <rPr>
        <i/>
        <sz val="11"/>
        <color theme="1"/>
        <rFont val="Calibri"/>
        <family val="2"/>
        <scheme val="minor"/>
      </rPr>
      <t>smaller calculated area</t>
    </r>
    <r>
      <rPr>
        <sz val="11"/>
        <color theme="1"/>
        <rFont val="Calibri"/>
        <family val="2"/>
        <scheme val="minor"/>
      </rPr>
      <t xml:space="preserve"> for that specific (less efficient) cooling scenario. </t>
    </r>
  </si>
  <si>
    <r>
      <t xml:space="preserve">The crucial distinction is whether you're </t>
    </r>
    <r>
      <rPr>
        <i/>
        <sz val="11"/>
        <color theme="1"/>
        <rFont val="Calibri"/>
        <family val="2"/>
        <scheme val="minor"/>
      </rPr>
      <t>designing</t>
    </r>
    <r>
      <rPr>
        <sz val="11"/>
        <color theme="1"/>
        <rFont val="Calibri"/>
        <family val="2"/>
        <scheme val="minor"/>
      </rPr>
      <t xml:space="preserve"> for a desired outlet temperature (in which case, lower desired temperature means larger area) or </t>
    </r>
    <r>
      <rPr>
        <i/>
        <sz val="11"/>
        <color theme="1"/>
        <rFont val="Calibri"/>
        <family val="2"/>
        <scheme val="minor"/>
      </rPr>
      <t>analyzing</t>
    </r>
    <r>
      <rPr>
        <sz val="11"/>
        <color theme="1"/>
        <rFont val="Calibri"/>
        <family val="2"/>
        <scheme val="minor"/>
      </rPr>
      <t xml:space="preserve"> an existing condenser's performance if the outlet temperature is allowed to change. </t>
    </r>
  </si>
  <si>
    <t>I should fix A then see for Th,o but its wrong i guess when i have Th,o then how to find A?</t>
  </si>
  <si>
    <t>T,hi - T,co</t>
  </si>
  <si>
    <t>mass rate (kg/hr)</t>
  </si>
  <si>
    <t>T,ho-T,ci</t>
  </si>
  <si>
    <t>Benzene</t>
  </si>
  <si>
    <t>Reaction Mass Cp:</t>
  </si>
  <si>
    <t>Solvents</t>
  </si>
  <si>
    <t>Latent Heat</t>
  </si>
  <si>
    <t>BP</t>
  </si>
  <si>
    <t>Density</t>
  </si>
  <si>
    <t>Acetone</t>
  </si>
  <si>
    <t>Acetonitrille</t>
  </si>
  <si>
    <t>Aniline</t>
  </si>
  <si>
    <t>Chloroform</t>
  </si>
  <si>
    <t>Cyclohexane</t>
  </si>
  <si>
    <t>DMF</t>
  </si>
  <si>
    <t>EDC</t>
  </si>
  <si>
    <t>Ethyl Acetate</t>
  </si>
  <si>
    <t>Ethyl alcohol</t>
  </si>
  <si>
    <t>Heptane</t>
  </si>
  <si>
    <t>Hexane</t>
  </si>
  <si>
    <t>LN2</t>
  </si>
  <si>
    <t>MDC</t>
  </si>
  <si>
    <t>MMA</t>
  </si>
  <si>
    <t>Propyl alcohol</t>
  </si>
  <si>
    <t>TBA</t>
  </si>
  <si>
    <t>TBAI</t>
  </si>
  <si>
    <t>THF</t>
  </si>
  <si>
    <t>Water</t>
  </si>
  <si>
    <t>Utility velocity (m/sec)</t>
  </si>
  <si>
    <r>
      <t>A (m</t>
    </r>
    <r>
      <rPr>
        <sz val="11"/>
        <color theme="1"/>
        <rFont val="Calibri"/>
        <family val="2"/>
      </rPr>
      <t>²)</t>
    </r>
  </si>
  <si>
    <t>Cooling Tower Load (TR)</t>
  </si>
  <si>
    <t>Utility Dia (inch)</t>
  </si>
  <si>
    <t xml:space="preserve">Optimization Steps </t>
  </si>
  <si>
    <t>Inlet Temp (ᵒC)</t>
  </si>
  <si>
    <r>
      <t>Density (kg/m</t>
    </r>
    <r>
      <rPr>
        <b/>
        <sz val="11"/>
        <color theme="1"/>
        <rFont val="Calibri"/>
        <family val="2"/>
      </rPr>
      <t>³</t>
    </r>
    <r>
      <rPr>
        <b/>
        <sz val="11"/>
        <color theme="1"/>
        <rFont val="Calibri"/>
        <family val="2"/>
        <scheme val="minor"/>
      </rPr>
      <t>)</t>
    </r>
  </si>
  <si>
    <t>If Outlet Temp (ᵒC) is Pink Either decrease vapor rate or increase mass rate of brine or increase outlet temperature</t>
  </si>
  <si>
    <t>Change vapor rate (L/hr) manually</t>
  </si>
  <si>
    <t>Chilling Water</t>
  </si>
  <si>
    <t>Change mass rate by changing Utility Dia OR velocity</t>
  </si>
  <si>
    <t>Brine Water</t>
  </si>
  <si>
    <t>Utility Velocity Can't be &gt;3 m/s</t>
  </si>
  <si>
    <t>Change Cooling media from drop down</t>
  </si>
  <si>
    <t xml:space="preserve">Increase outlet temp incase utility can't be changed </t>
  </si>
  <si>
    <t>`</t>
  </si>
  <si>
    <t>Solvent</t>
  </si>
  <si>
    <r>
      <t>Utility Density (kg/m</t>
    </r>
    <r>
      <rPr>
        <sz val="11"/>
        <color theme="1"/>
        <rFont val="Calibri"/>
        <family val="2"/>
      </rPr>
      <t>³</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</si>
</sst>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19" x14ac:knownFonts="1">
    <font>
      <sz val="11"/>
      <color theme="1"/>
      <name val="Calibri"/>
      <family val="2"/>
      <scheme val="minor"/>
    </font>
    <font>
      <b/>
      <sz val="11"/>
      <color theme="1"/>
      <name val="Calibri"/>
      <family val="2"/>
      <scheme val="minor"/>
    </font>
    <font>
      <vertAlign val="superscript"/>
      <sz val="11"/>
      <color theme="1"/>
      <name val="Calibri"/>
      <family val="2"/>
      <scheme val="minor"/>
    </font>
    <font>
      <b/>
      <sz val="11"/>
      <color rgb="FF000000"/>
      <name val="Calibri"/>
      <family val="2"/>
    </font>
    <font>
      <sz val="11"/>
      <color rgb="FF000000"/>
      <name val="Calibri"/>
      <family val="2"/>
    </font>
    <font>
      <sz val="11"/>
      <color theme="1"/>
      <name val="Times New Roman"/>
      <family val="1"/>
    </font>
    <font>
      <b/>
      <sz val="11"/>
      <color theme="1"/>
      <name val="Times New Roman"/>
      <family val="1"/>
    </font>
    <font>
      <sz val="12"/>
      <color rgb="FF222222"/>
      <name val="Arial"/>
      <family val="2"/>
    </font>
    <font>
      <sz val="12"/>
      <color rgb="FF000000"/>
      <name val="Calibri"/>
      <family val="2"/>
    </font>
    <font>
      <sz val="11"/>
      <color theme="1"/>
      <name val="Calibri"/>
      <family val="2"/>
    </font>
    <font>
      <i/>
      <sz val="11"/>
      <color theme="1"/>
      <name val="Calibri"/>
      <family val="2"/>
      <scheme val="minor"/>
    </font>
    <font>
      <u/>
      <sz val="11"/>
      <color theme="10"/>
      <name val="Calibri"/>
      <family val="2"/>
      <scheme val="minor"/>
    </font>
    <font>
      <b/>
      <sz val="11"/>
      <color theme="1"/>
      <name val="Calibri"/>
      <family val="2"/>
    </font>
    <font>
      <sz val="10"/>
      <name val="Arial"/>
      <family val="2"/>
    </font>
    <font>
      <b/>
      <sz val="12"/>
      <name val="Calibri"/>
      <family val="2"/>
      <scheme val="minor"/>
    </font>
    <font>
      <sz val="12"/>
      <name val="Calibri"/>
      <family val="2"/>
      <scheme val="minor"/>
    </font>
    <font>
      <sz val="11"/>
      <name val="Calibri"/>
      <family val="2"/>
      <scheme val="minor"/>
    </font>
    <font>
      <b/>
      <sz val="9"/>
      <color indexed="81"/>
      <name val="Tahoma"/>
      <family val="2"/>
    </font>
    <font>
      <sz val="9"/>
      <color indexed="81"/>
      <name val="Tahoma"/>
      <family val="2"/>
    </font>
  </fonts>
  <fills count="9">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8" tint="0.79998168889431442"/>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3">
    <xf numFmtId="0" fontId="0" fillId="0" borderId="0"/>
    <xf numFmtId="0" fontId="11" fillId="0" borderId="0" applyNumberFormat="0" applyFill="0" applyBorder="0" applyAlignment="0" applyProtection="0"/>
    <xf numFmtId="0" fontId="13" fillId="0" borderId="0"/>
  </cellStyleXfs>
  <cellXfs count="116">
    <xf numFmtId="0" fontId="0" fillId="0" borderId="0" xfId="0"/>
    <xf numFmtId="0" fontId="0" fillId="2" borderId="4" xfId="0" applyFill="1" applyBorder="1" applyAlignment="1">
      <alignment horizontal="center" vertical="center"/>
    </xf>
    <xf numFmtId="0" fontId="0" fillId="2" borderId="4" xfId="0" applyFill="1" applyBorder="1" applyAlignment="1">
      <alignment horizontal="center" vertical="center" wrapText="1"/>
    </xf>
    <xf numFmtId="0" fontId="0" fillId="0" borderId="4" xfId="0" applyBorder="1" applyAlignment="1">
      <alignment horizontal="center"/>
    </xf>
    <xf numFmtId="0" fontId="0" fillId="0" borderId="4" xfId="0" applyBorder="1"/>
    <xf numFmtId="0" fontId="3" fillId="3" borderId="6"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0" fontId="4" fillId="3" borderId="4" xfId="0" applyFont="1" applyFill="1" applyBorder="1" applyAlignment="1">
      <alignment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5" fillId="4" borderId="11" xfId="0" applyFont="1" applyFill="1" applyBorder="1" applyAlignment="1">
      <alignment horizontal="center" vertical="center"/>
    </xf>
    <xf numFmtId="0" fontId="4" fillId="3" borderId="12" xfId="0" applyFont="1" applyFill="1" applyBorder="1" applyAlignment="1">
      <alignment horizontal="center" vertical="center" wrapText="1"/>
    </xf>
    <xf numFmtId="0" fontId="0" fillId="0" borderId="0" xfId="0" applyAlignment="1">
      <alignment vertical="center"/>
    </xf>
    <xf numFmtId="0" fontId="3"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7" fillId="0" borderId="0" xfId="0" applyFont="1" applyAlignment="1">
      <alignment vertical="center" wrapText="1"/>
    </xf>
    <xf numFmtId="0" fontId="4" fillId="5" borderId="4" xfId="0" applyFont="1" applyFill="1" applyBorder="1" applyAlignment="1">
      <alignment horizontal="center" vertical="center" wrapText="1"/>
    </xf>
    <xf numFmtId="0" fontId="0" fillId="0" borderId="0" xfId="0" applyAlignment="1">
      <alignment vertical="center" readingOrder="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2" readingOrder="1"/>
    </xf>
    <xf numFmtId="0" fontId="0" fillId="0" borderId="0" xfId="0" applyAlignment="1">
      <alignment horizontal="left" vertical="center" indent="1" readingOrder="1"/>
    </xf>
    <xf numFmtId="0" fontId="1" fillId="0" borderId="0" xfId="0" applyFont="1"/>
    <xf numFmtId="0" fontId="1" fillId="0" borderId="0" xfId="0" applyFont="1" applyAlignment="1">
      <alignment horizontal="left" vertical="center" indent="1" readingOrder="1"/>
    </xf>
    <xf numFmtId="0" fontId="1" fillId="0" borderId="0" xfId="0" applyFont="1" applyAlignment="1">
      <alignment vertical="center"/>
    </xf>
    <xf numFmtId="0" fontId="11" fillId="0" borderId="0" xfId="1"/>
    <xf numFmtId="0" fontId="0" fillId="0" borderId="0" xfId="0" applyAlignment="1">
      <alignment horizontal="right"/>
    </xf>
    <xf numFmtId="0" fontId="0" fillId="0" borderId="11" xfId="0" applyBorder="1" applyAlignment="1">
      <alignment horizontal="center" vertical="center"/>
    </xf>
    <xf numFmtId="0" fontId="0" fillId="0" borderId="12" xfId="0" applyBorder="1" applyAlignment="1">
      <alignment horizontal="center" vertical="center"/>
    </xf>
    <xf numFmtId="1" fontId="15" fillId="0" borderId="4" xfId="0" applyNumberFormat="1" applyFont="1" applyBorder="1" applyAlignment="1">
      <alignment horizontal="center" vertical="center" wrapText="1"/>
    </xf>
    <xf numFmtId="164" fontId="15" fillId="0" borderId="4" xfId="0" applyNumberFormat="1" applyFont="1" applyBorder="1" applyAlignment="1">
      <alignment horizontal="center" vertical="center" wrapText="1"/>
    </xf>
    <xf numFmtId="2" fontId="15" fillId="0" borderId="4" xfId="0" applyNumberFormat="1" applyFont="1" applyBorder="1" applyAlignment="1">
      <alignment horizontal="center" vertical="center" wrapText="1"/>
    </xf>
    <xf numFmtId="1" fontId="15" fillId="4" borderId="4" xfId="0" applyNumberFormat="1" applyFont="1" applyFill="1" applyBorder="1" applyAlignment="1">
      <alignment horizontal="center" vertical="center" wrapText="1"/>
    </xf>
    <xf numFmtId="164" fontId="15" fillId="4" borderId="4" xfId="0" applyNumberFormat="1" applyFont="1" applyFill="1" applyBorder="1" applyAlignment="1">
      <alignment horizontal="center" vertical="center" wrapText="1"/>
    </xf>
    <xf numFmtId="165" fontId="15" fillId="4" borderId="4" xfId="0" applyNumberFormat="1" applyFont="1" applyFill="1" applyBorder="1" applyAlignment="1">
      <alignment horizontal="center" vertical="center" wrapText="1"/>
    </xf>
    <xf numFmtId="0" fontId="15" fillId="0" borderId="4" xfId="2" applyFont="1" applyBorder="1" applyAlignment="1">
      <alignment horizontal="center" vertical="center"/>
    </xf>
    <xf numFmtId="164" fontId="15" fillId="0" borderId="4" xfId="2" applyNumberFormat="1" applyFont="1" applyBorder="1" applyAlignment="1">
      <alignment horizontal="center" vertical="center"/>
    </xf>
    <xf numFmtId="1" fontId="15" fillId="0" borderId="4" xfId="2" applyNumberFormat="1" applyFont="1" applyBorder="1" applyAlignment="1">
      <alignment horizontal="center" vertical="center"/>
    </xf>
    <xf numFmtId="2" fontId="15" fillId="4" borderId="4" xfId="0" applyNumberFormat="1" applyFont="1" applyFill="1" applyBorder="1" applyAlignment="1">
      <alignment horizontal="center" vertical="center" wrapText="1"/>
    </xf>
    <xf numFmtId="0" fontId="0" fillId="6" borderId="4" xfId="0" applyFill="1" applyBorder="1"/>
    <xf numFmtId="1" fontId="0" fillId="0" borderId="4" xfId="0" applyNumberFormat="1" applyBorder="1"/>
    <xf numFmtId="2" fontId="0" fillId="0" borderId="4" xfId="0" applyNumberFormat="1" applyBorder="1"/>
    <xf numFmtId="0" fontId="9" fillId="0" borderId="4" xfId="0" applyFont="1" applyBorder="1"/>
    <xf numFmtId="0" fontId="0" fillId="0" borderId="4" xfId="0" applyFill="1" applyBorder="1"/>
    <xf numFmtId="0" fontId="0" fillId="0" borderId="4" xfId="0" applyBorder="1" applyAlignment="1">
      <alignment horizontal="right"/>
    </xf>
    <xf numFmtId="2" fontId="0" fillId="7" borderId="4" xfId="0" applyNumberFormat="1" applyFill="1" applyBorder="1" applyAlignment="1">
      <alignment horizontal="right"/>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8" borderId="19" xfId="0" applyFont="1" applyFill="1" applyBorder="1" applyAlignment="1">
      <alignment horizontal="center" vertical="center"/>
    </xf>
    <xf numFmtId="0" fontId="1" fillId="8" borderId="20" xfId="0" applyFont="1" applyFill="1" applyBorder="1" applyAlignment="1">
      <alignment horizontal="center" vertical="center"/>
    </xf>
    <xf numFmtId="0" fontId="1" fillId="8" borderId="21" xfId="0" applyFont="1" applyFill="1" applyBorder="1" applyAlignment="1">
      <alignment horizontal="center" vertical="center"/>
    </xf>
    <xf numFmtId="0" fontId="0" fillId="0" borderId="17" xfId="0" applyBorder="1" applyAlignment="1">
      <alignment horizontal="center" vertical="center"/>
    </xf>
    <xf numFmtId="0" fontId="16" fillId="6" borderId="18" xfId="0" applyFont="1" applyFill="1"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6" borderId="9" xfId="0" applyFill="1" applyBorder="1" applyAlignment="1">
      <alignment horizontal="left"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0" fillId="0" borderId="10" xfId="0" applyFont="1" applyBorder="1" applyAlignment="1">
      <alignment horizontal="center" vertical="center"/>
    </xf>
    <xf numFmtId="0" fontId="16" fillId="6" borderId="12" xfId="0" applyFont="1" applyFill="1" applyBorder="1"/>
    <xf numFmtId="0" fontId="1" fillId="0" borderId="4" xfId="0" applyFont="1" applyBorder="1"/>
    <xf numFmtId="0" fontId="1" fillId="6" borderId="4" xfId="0" applyFont="1" applyFill="1" applyBorder="1"/>
    <xf numFmtId="0" fontId="0" fillId="0" borderId="22" xfId="0" applyFill="1" applyBorder="1"/>
    <xf numFmtId="0" fontId="0" fillId="6" borderId="22" xfId="0" applyFill="1" applyBorder="1"/>
    <xf numFmtId="166" fontId="0" fillId="7" borderId="4" xfId="0" applyNumberFormat="1" applyFill="1" applyBorder="1"/>
    <xf numFmtId="0" fontId="14" fillId="4" borderId="0" xfId="2" applyFont="1" applyFill="1" applyBorder="1" applyAlignment="1">
      <alignment horizontal="right" vertical="center"/>
    </xf>
    <xf numFmtId="0" fontId="14" fillId="4" borderId="0" xfId="2" applyFont="1" applyFill="1" applyBorder="1" applyAlignment="1">
      <alignment horizontal="left" vertical="center"/>
    </xf>
    <xf numFmtId="0" fontId="14" fillId="4" borderId="0" xfId="2" applyFont="1" applyFill="1" applyBorder="1" applyAlignment="1">
      <alignment vertical="center"/>
    </xf>
    <xf numFmtId="0" fontId="14" fillId="4" borderId="19"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4" borderId="21" xfId="0" applyFont="1" applyFill="1" applyBorder="1" applyAlignment="1">
      <alignment horizontal="center" vertical="center" wrapText="1"/>
    </xf>
    <xf numFmtId="0" fontId="15" fillId="0" borderId="17" xfId="0" applyFont="1" applyBorder="1" applyAlignment="1">
      <alignment horizontal="left" vertical="center" wrapText="1"/>
    </xf>
    <xf numFmtId="1" fontId="15" fillId="0" borderId="13" xfId="0" applyNumberFormat="1" applyFont="1" applyBorder="1" applyAlignment="1">
      <alignment horizontal="center" vertical="center" wrapText="1"/>
    </xf>
    <xf numFmtId="164" fontId="15" fillId="0" borderId="13" xfId="0" applyNumberFormat="1" applyFont="1" applyBorder="1" applyAlignment="1">
      <alignment horizontal="center" vertical="center" wrapText="1"/>
    </xf>
    <xf numFmtId="2" fontId="15" fillId="0" borderId="13" xfId="0" applyNumberFormat="1" applyFont="1" applyBorder="1" applyAlignment="1">
      <alignment horizontal="center" vertical="center" wrapText="1"/>
    </xf>
    <xf numFmtId="165" fontId="15" fillId="0" borderId="18" xfId="0" applyNumberFormat="1" applyFont="1" applyBorder="1" applyAlignment="1">
      <alignment horizontal="center" vertical="center" wrapText="1"/>
    </xf>
    <xf numFmtId="0" fontId="0" fillId="0" borderId="0" xfId="0" applyFill="1" applyBorder="1"/>
    <xf numFmtId="0" fontId="0" fillId="0" borderId="0" xfId="0" applyFill="1" applyBorder="1" applyAlignment="1">
      <alignment horizontal="center" vertical="center"/>
    </xf>
    <xf numFmtId="0" fontId="15" fillId="0" borderId="8" xfId="0" applyFont="1" applyBorder="1" applyAlignment="1">
      <alignment horizontal="left" vertical="center" wrapText="1"/>
    </xf>
    <xf numFmtId="165" fontId="15" fillId="0" borderId="9" xfId="0" applyNumberFormat="1" applyFont="1" applyBorder="1" applyAlignment="1">
      <alignment horizontal="center" vertical="center" wrapText="1"/>
    </xf>
    <xf numFmtId="0" fontId="15" fillId="4" borderId="8" xfId="0" applyFont="1" applyFill="1" applyBorder="1" applyAlignment="1">
      <alignment horizontal="left" vertical="center" wrapText="1"/>
    </xf>
    <xf numFmtId="165" fontId="15" fillId="4" borderId="9" xfId="0" applyNumberFormat="1" applyFont="1" applyFill="1" applyBorder="1" applyAlignment="1">
      <alignment horizontal="center" vertical="center" wrapText="1"/>
    </xf>
    <xf numFmtId="0" fontId="15" fillId="0" borderId="8" xfId="2" applyFont="1" applyBorder="1" applyAlignment="1">
      <alignment horizontal="left" vertical="center"/>
    </xf>
    <xf numFmtId="0" fontId="15" fillId="4" borderId="10" xfId="0" applyFont="1" applyFill="1" applyBorder="1" applyAlignment="1">
      <alignment horizontal="left" vertical="center" wrapText="1"/>
    </xf>
    <xf numFmtId="1" fontId="15" fillId="4" borderId="11" xfId="0" applyNumberFormat="1" applyFont="1" applyFill="1" applyBorder="1" applyAlignment="1">
      <alignment horizontal="center" vertical="center" wrapText="1"/>
    </xf>
    <xf numFmtId="164" fontId="15" fillId="4" borderId="11" xfId="0" applyNumberFormat="1" applyFont="1" applyFill="1" applyBorder="1" applyAlignment="1">
      <alignment horizontal="center" vertical="center" wrapText="1"/>
    </xf>
    <xf numFmtId="2" fontId="15" fillId="4" borderId="11" xfId="0" applyNumberFormat="1" applyFont="1" applyFill="1" applyBorder="1" applyAlignment="1">
      <alignment horizontal="center" vertical="center" wrapText="1"/>
    </xf>
    <xf numFmtId="165" fontId="15" fillId="4" borderId="12" xfId="0" applyNumberFormat="1" applyFont="1" applyFill="1" applyBorder="1" applyAlignment="1">
      <alignment horizontal="center" vertical="center" wrapText="1"/>
    </xf>
  </cellXfs>
  <cellStyles count="3">
    <cellStyle name="Hyperlink" xfId="1" builtinId="8"/>
    <cellStyle name="Normal" xfId="0" builtinId="0"/>
    <cellStyle name="Normal 2" xfId="2"/>
  </cellStyles>
  <dxfs count="1">
    <dxf>
      <fill>
        <patternFill>
          <bgColor rgb="FFFF99CC"/>
        </patternFill>
      </fill>
    </dxf>
  </dxfs>
  <tableStyles count="0" defaultTableStyle="TableStyleMedium2" defaultPivotStyle="PivotStyleLight16"/>
  <colors>
    <mruColors>
      <color rgb="FFC7AF8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3</xdr:row>
      <xdr:rowOff>120650</xdr:rowOff>
    </xdr:to>
    <xdr:sp macro="" textlink="">
      <xdr:nvSpPr>
        <xdr:cNvPr id="6145" name="AutoShape 1" descr="data:image/gif;base64,R0lGODlhAQABAIAAAP///wAAACH5BAEAAAAALAAAAAABAAEAAAICRAEAOw=="/>
        <xdr:cNvSpPr>
          <a:spLocks noChangeAspect="1" noChangeArrowheads="1"/>
        </xdr:cNvSpPr>
      </xdr:nvSpPr>
      <xdr:spPr bwMode="auto">
        <a:xfrm>
          <a:off x="0" y="36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120650</xdr:rowOff>
    </xdr:to>
    <xdr:sp macro="" textlink="">
      <xdr:nvSpPr>
        <xdr:cNvPr id="6146" name="AutoShape 2" descr="data:image/gif;base64,R0lGODlhAQABAIAAAP///wAAACH5BAEAAAAALAAAAAABAAEAAAICRAEAOw=="/>
        <xdr:cNvSpPr>
          <a:spLocks noChangeAspect="1" noChangeArrowheads="1"/>
        </xdr:cNvSpPr>
      </xdr:nvSpPr>
      <xdr:spPr bwMode="auto">
        <a:xfrm>
          <a:off x="0" y="11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12</xdr:row>
      <xdr:rowOff>120650</xdr:rowOff>
    </xdr:to>
    <xdr:sp macro="" textlink="">
      <xdr:nvSpPr>
        <xdr:cNvPr id="6147" name="AutoShape 3" descr="data:image/gif;base64,R0lGODlhAQABAIAAAP///wAAACH5BAEAAAAALAAAAAABAAEAAAICRAEAOw=="/>
        <xdr:cNvSpPr>
          <a:spLocks noChangeAspect="1" noChangeArrowheads="1"/>
        </xdr:cNvSpPr>
      </xdr:nvSpPr>
      <xdr:spPr bwMode="auto">
        <a:xfrm>
          <a:off x="0" y="202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304800</xdr:colOff>
      <xdr:row>21</xdr:row>
      <xdr:rowOff>120650</xdr:rowOff>
    </xdr:to>
    <xdr:sp macro="" textlink="">
      <xdr:nvSpPr>
        <xdr:cNvPr id="6148" name="AutoShape 4" descr="data:image/gif;base64,R0lGODlhAQABAIAAAP///wAAACH5BAEAAAAALAAAAAABAAEAAAICRAEAOw=="/>
        <xdr:cNvSpPr>
          <a:spLocks noChangeAspect="1" noChangeArrowheads="1"/>
        </xdr:cNvSpPr>
      </xdr:nvSpPr>
      <xdr:spPr bwMode="auto">
        <a:xfrm>
          <a:off x="0" y="36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xdr:row>
      <xdr:rowOff>0</xdr:rowOff>
    </xdr:from>
    <xdr:to>
      <xdr:col>0</xdr:col>
      <xdr:colOff>304800</xdr:colOff>
      <xdr:row>26</xdr:row>
      <xdr:rowOff>120650</xdr:rowOff>
    </xdr:to>
    <xdr:sp macro="" textlink="">
      <xdr:nvSpPr>
        <xdr:cNvPr id="6149" name="AutoShape 5" descr="data:image/gif;base64,R0lGODlhAQABAIAAAP///wAAACH5BAEAAAAALAAAAAABAAEAAAICRAEAOw=="/>
        <xdr:cNvSpPr>
          <a:spLocks noChangeAspect="1" noChangeArrowheads="1"/>
        </xdr:cNvSpPr>
      </xdr:nvSpPr>
      <xdr:spPr bwMode="auto">
        <a:xfrm>
          <a:off x="0" y="460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304800</xdr:colOff>
      <xdr:row>30</xdr:row>
      <xdr:rowOff>120650</xdr:rowOff>
    </xdr:to>
    <xdr:sp macro="" textlink="">
      <xdr:nvSpPr>
        <xdr:cNvPr id="6150" name="AutoShape 6" descr="data:image/gif;base64,R0lGODlhAQABAIAAAP///wAAACH5BAEAAAAALAAAAAABAAEAAAICRAEAOw=="/>
        <xdr:cNvSpPr>
          <a:spLocks noChangeAspect="1" noChangeArrowheads="1"/>
        </xdr:cNvSpPr>
      </xdr:nvSpPr>
      <xdr:spPr bwMode="auto">
        <a:xfrm>
          <a:off x="0" y="534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xdr:row>
      <xdr:rowOff>0</xdr:rowOff>
    </xdr:from>
    <xdr:to>
      <xdr:col>0</xdr:col>
      <xdr:colOff>304800</xdr:colOff>
      <xdr:row>35</xdr:row>
      <xdr:rowOff>120650</xdr:rowOff>
    </xdr:to>
    <xdr:sp macro="" textlink="">
      <xdr:nvSpPr>
        <xdr:cNvPr id="6151" name="AutoShape 7" descr="data:image/gif;base64,R0lGODlhAQABAIAAAP///wAAACH5BAEAAAAALAAAAAABAAEAAAICRAEAOw=="/>
        <xdr:cNvSpPr>
          <a:spLocks noChangeAspect="1" noChangeArrowheads="1"/>
        </xdr:cNvSpPr>
      </xdr:nvSpPr>
      <xdr:spPr bwMode="auto">
        <a:xfrm>
          <a:off x="0" y="626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39</xdr:row>
      <xdr:rowOff>120650</xdr:rowOff>
    </xdr:to>
    <xdr:sp macro="" textlink="">
      <xdr:nvSpPr>
        <xdr:cNvPr id="6152" name="AutoShape 8" descr="data:image/gif;base64,R0lGODlhAQABAIAAAP///wAAACH5BAEAAAAALAAAAAABAAEAAAICRAEAOw=="/>
        <xdr:cNvSpPr>
          <a:spLocks noChangeAspect="1" noChangeArrowheads="1"/>
        </xdr:cNvSpPr>
      </xdr:nvSpPr>
      <xdr:spPr bwMode="auto">
        <a:xfrm>
          <a:off x="0" y="699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304800</xdr:colOff>
      <xdr:row>43</xdr:row>
      <xdr:rowOff>120650</xdr:rowOff>
    </xdr:to>
    <xdr:sp macro="" textlink="">
      <xdr:nvSpPr>
        <xdr:cNvPr id="6153" name="AutoShape 9" descr="data:image/gif;base64,R0lGODlhAQABAIAAAP///wAAACH5BAEAAAAALAAAAAABAAEAAAICRAEAOw=="/>
        <xdr:cNvSpPr>
          <a:spLocks noChangeAspect="1" noChangeArrowheads="1"/>
        </xdr:cNvSpPr>
      </xdr:nvSpPr>
      <xdr:spPr bwMode="auto">
        <a:xfrm>
          <a:off x="0" y="773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304800</xdr:colOff>
      <xdr:row>47</xdr:row>
      <xdr:rowOff>120650</xdr:rowOff>
    </xdr:to>
    <xdr:sp macro="" textlink="">
      <xdr:nvSpPr>
        <xdr:cNvPr id="6154" name="AutoShape 10" descr="data:image/gif;base64,R0lGODlhAQABAIAAAP///wAAACH5BAEAAAAALAAAAAABAAEAAAICRAEAOw=="/>
        <xdr:cNvSpPr>
          <a:spLocks noChangeAspect="1" noChangeArrowheads="1"/>
        </xdr:cNvSpPr>
      </xdr:nvSpPr>
      <xdr:spPr bwMode="auto">
        <a:xfrm>
          <a:off x="0" y="847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304800</xdr:colOff>
      <xdr:row>51</xdr:row>
      <xdr:rowOff>120650</xdr:rowOff>
    </xdr:to>
    <xdr:sp macro="" textlink="">
      <xdr:nvSpPr>
        <xdr:cNvPr id="6155" name="AutoShape 11" descr="data:image/gif;base64,R0lGODlhAQABAIAAAP///wAAACH5BAEAAAAALAAAAAABAAEAAAICRAEAOw=="/>
        <xdr:cNvSpPr>
          <a:spLocks noChangeAspect="1" noChangeArrowheads="1"/>
        </xdr:cNvSpPr>
      </xdr:nvSpPr>
      <xdr:spPr bwMode="auto">
        <a:xfrm>
          <a:off x="0" y="92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304800</xdr:colOff>
      <xdr:row>56</xdr:row>
      <xdr:rowOff>120650</xdr:rowOff>
    </xdr:to>
    <xdr:sp macro="" textlink="">
      <xdr:nvSpPr>
        <xdr:cNvPr id="6156" name="AutoShape 12" descr="data:image/gif;base64,R0lGODlhAQABAIAAAP///wAAACH5BAEAAAAALAAAAAABAAEAAAICRAEAOw=="/>
        <xdr:cNvSpPr>
          <a:spLocks noChangeAspect="1" noChangeArrowheads="1"/>
        </xdr:cNvSpPr>
      </xdr:nvSpPr>
      <xdr:spPr bwMode="auto">
        <a:xfrm>
          <a:off x="0" y="101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xdr:row>
      <xdr:rowOff>0</xdr:rowOff>
    </xdr:from>
    <xdr:to>
      <xdr:col>0</xdr:col>
      <xdr:colOff>304800</xdr:colOff>
      <xdr:row>61</xdr:row>
      <xdr:rowOff>120650</xdr:rowOff>
    </xdr:to>
    <xdr:sp macro="" textlink="">
      <xdr:nvSpPr>
        <xdr:cNvPr id="6157" name="AutoShape 13" descr="data:image/gif;base64,R0lGODlhAQABAIAAAP///wAAACH5BAEAAAAALAAAAAABAAEAAAICRAEAOw=="/>
        <xdr:cNvSpPr>
          <a:spLocks noChangeAspect="1" noChangeArrowheads="1"/>
        </xdr:cNvSpPr>
      </xdr:nvSpPr>
      <xdr:spPr bwMode="auto">
        <a:xfrm>
          <a:off x="0" y="110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304800</xdr:colOff>
      <xdr:row>65</xdr:row>
      <xdr:rowOff>120650</xdr:rowOff>
    </xdr:to>
    <xdr:sp macro="" textlink="">
      <xdr:nvSpPr>
        <xdr:cNvPr id="6158" name="AutoShape 14" descr="data:image/gif;base64,R0lGODlhAQABAIAAAP///wAAACH5BAEAAAAALAAAAAABAAEAAAICRAEAOw=="/>
        <xdr:cNvSpPr>
          <a:spLocks noChangeAspect="1" noChangeArrowheads="1"/>
        </xdr:cNvSpPr>
      </xdr:nvSpPr>
      <xdr:spPr bwMode="auto">
        <a:xfrm>
          <a:off x="0" y="1178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xdr:row>
      <xdr:rowOff>0</xdr:rowOff>
    </xdr:from>
    <xdr:to>
      <xdr:col>0</xdr:col>
      <xdr:colOff>304800</xdr:colOff>
      <xdr:row>69</xdr:row>
      <xdr:rowOff>120650</xdr:rowOff>
    </xdr:to>
    <xdr:sp macro="" textlink="">
      <xdr:nvSpPr>
        <xdr:cNvPr id="6159" name="AutoShape 15" descr="data:image/gif;base64,R0lGODlhAQABAIAAAP///wAAACH5BAEAAAAALAAAAAABAAEAAAICRAEAOw=="/>
        <xdr:cNvSpPr>
          <a:spLocks noChangeAspect="1" noChangeArrowheads="1"/>
        </xdr:cNvSpPr>
      </xdr:nvSpPr>
      <xdr:spPr bwMode="auto">
        <a:xfrm>
          <a:off x="0" y="125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304800</xdr:colOff>
      <xdr:row>73</xdr:row>
      <xdr:rowOff>120650</xdr:rowOff>
    </xdr:to>
    <xdr:sp macro="" textlink="">
      <xdr:nvSpPr>
        <xdr:cNvPr id="6160" name="AutoShape 16" descr="data:image/gif;base64,R0lGODlhAQABAIAAAP///wAAACH5BAEAAAAALAAAAAABAAEAAAICRAEAOw=="/>
        <xdr:cNvSpPr>
          <a:spLocks noChangeAspect="1" noChangeArrowheads="1"/>
        </xdr:cNvSpPr>
      </xdr:nvSpPr>
      <xdr:spPr bwMode="auto">
        <a:xfrm>
          <a:off x="0" y="1325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xdr:row>
      <xdr:rowOff>0</xdr:rowOff>
    </xdr:from>
    <xdr:to>
      <xdr:col>0</xdr:col>
      <xdr:colOff>304800</xdr:colOff>
      <xdr:row>77</xdr:row>
      <xdr:rowOff>120650</xdr:rowOff>
    </xdr:to>
    <xdr:sp macro="" textlink="">
      <xdr:nvSpPr>
        <xdr:cNvPr id="6161" name="AutoShape 17" descr="data:image/gif;base64,R0lGODlhAQABAIAAAP///wAAACH5BAEAAAAALAAAAAABAAEAAAICRAEAOw=="/>
        <xdr:cNvSpPr>
          <a:spLocks noChangeAspect="1" noChangeArrowheads="1"/>
        </xdr:cNvSpPr>
      </xdr:nvSpPr>
      <xdr:spPr bwMode="auto">
        <a:xfrm>
          <a:off x="0" y="139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xdr:row>
      <xdr:rowOff>0</xdr:rowOff>
    </xdr:from>
    <xdr:to>
      <xdr:col>0</xdr:col>
      <xdr:colOff>304800</xdr:colOff>
      <xdr:row>81</xdr:row>
      <xdr:rowOff>120650</xdr:rowOff>
    </xdr:to>
    <xdr:sp macro="" textlink="">
      <xdr:nvSpPr>
        <xdr:cNvPr id="6162" name="AutoShape 18" descr="data:image/gif;base64,R0lGODlhAQABAIAAAP///wAAACH5BAEAAAAALAAAAAABAAEAAAICRAEAOw=="/>
        <xdr:cNvSpPr>
          <a:spLocks noChangeAspect="1" noChangeArrowheads="1"/>
        </xdr:cNvSpPr>
      </xdr:nvSpPr>
      <xdr:spPr bwMode="auto">
        <a:xfrm>
          <a:off x="0" y="147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xdr:row>
      <xdr:rowOff>0</xdr:rowOff>
    </xdr:from>
    <xdr:to>
      <xdr:col>0</xdr:col>
      <xdr:colOff>304800</xdr:colOff>
      <xdr:row>87</xdr:row>
      <xdr:rowOff>120650</xdr:rowOff>
    </xdr:to>
    <xdr:sp macro="" textlink="">
      <xdr:nvSpPr>
        <xdr:cNvPr id="6163" name="AutoShape 19" descr="data:image/gif;base64,R0lGODlhAQABAIAAAP///wAAACH5BAEAAAAALAAAAAABAAEAAAICRAEAOw=="/>
        <xdr:cNvSpPr>
          <a:spLocks noChangeAspect="1" noChangeArrowheads="1"/>
        </xdr:cNvSpPr>
      </xdr:nvSpPr>
      <xdr:spPr bwMode="auto">
        <a:xfrm>
          <a:off x="0" y="1583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304800</xdr:colOff>
      <xdr:row>91</xdr:row>
      <xdr:rowOff>120650</xdr:rowOff>
    </xdr:to>
    <xdr:sp macro="" textlink="">
      <xdr:nvSpPr>
        <xdr:cNvPr id="6164" name="AutoShape 20" descr="data:image/gif;base64,R0lGODlhAQABAIAAAP///wAAACH5BAEAAAAALAAAAAABAAEAAAICRAEAOw=="/>
        <xdr:cNvSpPr>
          <a:spLocks noChangeAspect="1" noChangeArrowheads="1"/>
        </xdr:cNvSpPr>
      </xdr:nvSpPr>
      <xdr:spPr bwMode="auto">
        <a:xfrm>
          <a:off x="0" y="165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0</xdr:col>
      <xdr:colOff>304800</xdr:colOff>
      <xdr:row>95</xdr:row>
      <xdr:rowOff>120650</xdr:rowOff>
    </xdr:to>
    <xdr:sp macro="" textlink="">
      <xdr:nvSpPr>
        <xdr:cNvPr id="6165" name="AutoShape 21" descr="data:image/gif;base64,R0lGODlhAQABAIAAAP///wAAACH5BAEAAAAALAAAAAABAAEAAAICRAEAOw=="/>
        <xdr:cNvSpPr>
          <a:spLocks noChangeAspect="1" noChangeArrowheads="1"/>
        </xdr:cNvSpPr>
      </xdr:nvSpPr>
      <xdr:spPr bwMode="auto">
        <a:xfrm>
          <a:off x="0" y="1731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xdr:row>
      <xdr:rowOff>0</xdr:rowOff>
    </xdr:from>
    <xdr:to>
      <xdr:col>0</xdr:col>
      <xdr:colOff>304800</xdr:colOff>
      <xdr:row>103</xdr:row>
      <xdr:rowOff>120650</xdr:rowOff>
    </xdr:to>
    <xdr:sp macro="" textlink="">
      <xdr:nvSpPr>
        <xdr:cNvPr id="6166" name="AutoShape 22" descr="data:image/gif;base64,R0lGODlhAQABAIAAAP///wAAACH5BAEAAAAALAAAAAABAAEAAAICRAEAOw=="/>
        <xdr:cNvSpPr>
          <a:spLocks noChangeAspect="1" noChangeArrowheads="1"/>
        </xdr:cNvSpPr>
      </xdr:nvSpPr>
      <xdr:spPr bwMode="auto">
        <a:xfrm>
          <a:off x="0" y="1878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xdr:row>
      <xdr:rowOff>0</xdr:rowOff>
    </xdr:from>
    <xdr:to>
      <xdr:col>0</xdr:col>
      <xdr:colOff>304800</xdr:colOff>
      <xdr:row>109</xdr:row>
      <xdr:rowOff>120650</xdr:rowOff>
    </xdr:to>
    <xdr:sp macro="" textlink="">
      <xdr:nvSpPr>
        <xdr:cNvPr id="6167" name="AutoShape 23" descr="data:image/gif;base64,R0lGODlhAQABAIAAAP///wAAACH5BAEAAAAALAAAAAABAAEAAAICRAEAOw=="/>
        <xdr:cNvSpPr>
          <a:spLocks noChangeAspect="1" noChangeArrowheads="1"/>
        </xdr:cNvSpPr>
      </xdr:nvSpPr>
      <xdr:spPr bwMode="auto">
        <a:xfrm>
          <a:off x="0" y="198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xdr:row>
      <xdr:rowOff>0</xdr:rowOff>
    </xdr:from>
    <xdr:to>
      <xdr:col>0</xdr:col>
      <xdr:colOff>304800</xdr:colOff>
      <xdr:row>113</xdr:row>
      <xdr:rowOff>120650</xdr:rowOff>
    </xdr:to>
    <xdr:sp macro="" textlink="">
      <xdr:nvSpPr>
        <xdr:cNvPr id="6168" name="AutoShape 24" descr="data:image/gif;base64,R0lGODlhAQABAIAAAP///wAAACH5BAEAAAAALAAAAAABAAEAAAICRAEAOw=="/>
        <xdr:cNvSpPr>
          <a:spLocks noChangeAspect="1" noChangeArrowheads="1"/>
        </xdr:cNvSpPr>
      </xdr:nvSpPr>
      <xdr:spPr bwMode="auto">
        <a:xfrm>
          <a:off x="0" y="2062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xdr:row>
      <xdr:rowOff>0</xdr:rowOff>
    </xdr:from>
    <xdr:to>
      <xdr:col>0</xdr:col>
      <xdr:colOff>304800</xdr:colOff>
      <xdr:row>121</xdr:row>
      <xdr:rowOff>120650</xdr:rowOff>
    </xdr:to>
    <xdr:pic>
      <xdr:nvPicPr>
        <xdr:cNvPr id="26" name="Picture 25" descr="undefine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098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152400</xdr:colOff>
      <xdr:row>121</xdr:row>
      <xdr:rowOff>152400</xdr:rowOff>
    </xdr:to>
    <xdr:pic>
      <xdr:nvPicPr>
        <xdr:cNvPr id="27" name="Picture 26" descr="undefined"/>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8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xdr:row>
      <xdr:rowOff>0</xdr:rowOff>
    </xdr:from>
    <xdr:to>
      <xdr:col>0</xdr:col>
      <xdr:colOff>304800</xdr:colOff>
      <xdr:row>123</xdr:row>
      <xdr:rowOff>120650</xdr:rowOff>
    </xdr:to>
    <xdr:pic>
      <xdr:nvPicPr>
        <xdr:cNvPr id="28" name="Picture 27" descr="undefine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246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xdr:row>
      <xdr:rowOff>0</xdr:rowOff>
    </xdr:from>
    <xdr:to>
      <xdr:col>0</xdr:col>
      <xdr:colOff>304800</xdr:colOff>
      <xdr:row>126</xdr:row>
      <xdr:rowOff>120650</xdr:rowOff>
    </xdr:to>
    <xdr:pic>
      <xdr:nvPicPr>
        <xdr:cNvPr id="29" name="Picture 28" descr="undefine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018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xdr:row>
      <xdr:rowOff>0</xdr:rowOff>
    </xdr:from>
    <xdr:to>
      <xdr:col>0</xdr:col>
      <xdr:colOff>152400</xdr:colOff>
      <xdr:row>126</xdr:row>
      <xdr:rowOff>152400</xdr:rowOff>
    </xdr:to>
    <xdr:pic>
      <xdr:nvPicPr>
        <xdr:cNvPr id="30" name="Picture 29" descr="undefined"/>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20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xdr:row>
      <xdr:rowOff>0</xdr:rowOff>
    </xdr:from>
    <xdr:to>
      <xdr:col>0</xdr:col>
      <xdr:colOff>304800</xdr:colOff>
      <xdr:row>128</xdr:row>
      <xdr:rowOff>120650</xdr:rowOff>
    </xdr:to>
    <xdr:pic>
      <xdr:nvPicPr>
        <xdr:cNvPr id="31" name="Picture 30" descr="undefine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338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25400</xdr:colOff>
      <xdr:row>129</xdr:row>
      <xdr:rowOff>146050</xdr:rowOff>
    </xdr:from>
    <xdr:to>
      <xdr:col>12</xdr:col>
      <xdr:colOff>120650</xdr:colOff>
      <xdr:row>137</xdr:row>
      <xdr:rowOff>133350</xdr:rowOff>
    </xdr:to>
    <xdr:pic>
      <xdr:nvPicPr>
        <xdr:cNvPr id="32" name="Picture 31" descr="https://encrypted-tbn1.gstatic.com/images?q=tbn:ANd9GcQMCPfySmrJ1Eynmz_3QizQRWh9avQISRBObgeRoVYpNZYPCcyT"/>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2600" y="23901400"/>
          <a:ext cx="3143250" cy="146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xdr:row>
      <xdr:rowOff>0</xdr:rowOff>
    </xdr:from>
    <xdr:to>
      <xdr:col>0</xdr:col>
      <xdr:colOff>304800</xdr:colOff>
      <xdr:row>133</xdr:row>
      <xdr:rowOff>120650</xdr:rowOff>
    </xdr:to>
    <xdr:pic>
      <xdr:nvPicPr>
        <xdr:cNvPr id="33" name="Picture 32" descr="favicon"/>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07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279400</xdr:colOff>
      <xdr:row>146</xdr:row>
      <xdr:rowOff>19050</xdr:rowOff>
    </xdr:from>
    <xdr:to>
      <xdr:col>10</xdr:col>
      <xdr:colOff>393700</xdr:colOff>
      <xdr:row>155</xdr:row>
      <xdr:rowOff>152400</xdr:rowOff>
    </xdr:to>
    <xdr:pic>
      <xdr:nvPicPr>
        <xdr:cNvPr id="34" name="Picture 33" descr="https://encrypted-tbn2.gstatic.com/images?q=tbn:ANd9GcRrZKYGO0cyETLuyjwuk7ZGYSrbB7ZqZ6YBVkHe4A6lEGVHFnqn"/>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37000" y="26904950"/>
          <a:ext cx="255270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xdr:row>
      <xdr:rowOff>0</xdr:rowOff>
    </xdr:from>
    <xdr:to>
      <xdr:col>0</xdr:col>
      <xdr:colOff>152400</xdr:colOff>
      <xdr:row>137</xdr:row>
      <xdr:rowOff>152400</xdr:rowOff>
    </xdr:to>
    <xdr:pic>
      <xdr:nvPicPr>
        <xdr:cNvPr id="35" name="Picture 34" descr="favico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22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152</xdr:row>
      <xdr:rowOff>101600</xdr:rowOff>
    </xdr:from>
    <xdr:to>
      <xdr:col>7</xdr:col>
      <xdr:colOff>107950</xdr:colOff>
      <xdr:row>160</xdr:row>
      <xdr:rowOff>127000</xdr:rowOff>
    </xdr:to>
    <xdr:pic>
      <xdr:nvPicPr>
        <xdr:cNvPr id="36" name="Picture 35" descr="https://encrypted-tbn2.gstatic.com/images?q=tbn:ANd9GcRfuUOJch56siLtVl_hk-9U6vqMH0QJXzVJ0eKShHwezkh6voxU"/>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27150" y="28092400"/>
          <a:ext cx="3048000" cy="149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0</xdr:col>
      <xdr:colOff>304800</xdr:colOff>
      <xdr:row>143</xdr:row>
      <xdr:rowOff>120650</xdr:rowOff>
    </xdr:to>
    <xdr:pic>
      <xdr:nvPicPr>
        <xdr:cNvPr id="37" name="Picture 36" descr="favicon"/>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614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158750</xdr:colOff>
      <xdr:row>158</xdr:row>
      <xdr:rowOff>44450</xdr:rowOff>
    </xdr:from>
    <xdr:to>
      <xdr:col>9</xdr:col>
      <xdr:colOff>95250</xdr:colOff>
      <xdr:row>166</xdr:row>
      <xdr:rowOff>107950</xdr:rowOff>
    </xdr:to>
    <xdr:pic>
      <xdr:nvPicPr>
        <xdr:cNvPr id="38" name="Picture 37" descr="https://encrypted-tbn3.gstatic.com/images?q=tbn:ANd9GcSi25j2DJqD9TsOKvCqOrbTxcDKeDFnzSqkIe4-H7iT6EPRqNV6"/>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97150" y="29140150"/>
          <a:ext cx="2984500"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xdr:row>
      <xdr:rowOff>0</xdr:rowOff>
    </xdr:from>
    <xdr:to>
      <xdr:col>0</xdr:col>
      <xdr:colOff>304800</xdr:colOff>
      <xdr:row>148</xdr:row>
      <xdr:rowOff>120650</xdr:rowOff>
    </xdr:to>
    <xdr:pic>
      <xdr:nvPicPr>
        <xdr:cNvPr id="39" name="Picture 38" descr="favicon"/>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707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539750</xdr:colOff>
      <xdr:row>148</xdr:row>
      <xdr:rowOff>44450</xdr:rowOff>
    </xdr:from>
    <xdr:to>
      <xdr:col>13</xdr:col>
      <xdr:colOff>285750</xdr:colOff>
      <xdr:row>157</xdr:row>
      <xdr:rowOff>25400</xdr:rowOff>
    </xdr:to>
    <xdr:pic>
      <xdr:nvPicPr>
        <xdr:cNvPr id="40" name="Picture 39" descr="https://encrypted-tbn1.gstatic.com/images?q=tbn:ANd9GcR36A42pZ4DoWXgZaRO15Cpzp5VIp9LtUujCe-2kwhhhBd0Q8mO"/>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416550" y="27298650"/>
          <a:ext cx="279400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76200</xdr:colOff>
      <xdr:row>162</xdr:row>
      <xdr:rowOff>107950</xdr:rowOff>
    </xdr:from>
    <xdr:to>
      <xdr:col>12</xdr:col>
      <xdr:colOff>76200</xdr:colOff>
      <xdr:row>169</xdr:row>
      <xdr:rowOff>38100</xdr:rowOff>
    </xdr:to>
    <xdr:pic>
      <xdr:nvPicPr>
        <xdr:cNvPr id="41" name="Picture 40" descr="favicon"/>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172200" y="2994025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342900</xdr:colOff>
      <xdr:row>156</xdr:row>
      <xdr:rowOff>114300</xdr:rowOff>
    </xdr:from>
    <xdr:to>
      <xdr:col>13</xdr:col>
      <xdr:colOff>298450</xdr:colOff>
      <xdr:row>167</xdr:row>
      <xdr:rowOff>6350</xdr:rowOff>
    </xdr:to>
    <xdr:pic>
      <xdr:nvPicPr>
        <xdr:cNvPr id="42" name="Picture 41" descr="https://encrypted-tbn3.gstatic.com/images?q=tbn:ANd9GcQVt97lfuyhlBHFyHyfJqCZ4ULMTyKIerj3jyeSyj4Gk13nySwS"/>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29300" y="28841700"/>
          <a:ext cx="2393950" cy="191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xdr:row>
      <xdr:rowOff>0</xdr:rowOff>
    </xdr:from>
    <xdr:to>
      <xdr:col>0</xdr:col>
      <xdr:colOff>304800</xdr:colOff>
      <xdr:row>158</xdr:row>
      <xdr:rowOff>120650</xdr:rowOff>
    </xdr:to>
    <xdr:pic>
      <xdr:nvPicPr>
        <xdr:cNvPr id="43" name="Picture 42" descr="favicon"/>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8911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552450</xdr:colOff>
      <xdr:row>158</xdr:row>
      <xdr:rowOff>177800</xdr:rowOff>
    </xdr:from>
    <xdr:to>
      <xdr:col>11</xdr:col>
      <xdr:colOff>209550</xdr:colOff>
      <xdr:row>168</xdr:row>
      <xdr:rowOff>25400</xdr:rowOff>
    </xdr:to>
    <xdr:pic>
      <xdr:nvPicPr>
        <xdr:cNvPr id="44" name="Picture 43" descr="https://encrypted-tbn1.gstatic.com/images?q=tbn:ANd9GcT8pBrHBK0yzpsx4RqHN2yGpEdvzYK-m1ZH8MAb0hhdDanELy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210050" y="29273500"/>
          <a:ext cx="2705100" cy="168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xdr:row>
      <xdr:rowOff>0</xdr:rowOff>
    </xdr:from>
    <xdr:to>
      <xdr:col>2</xdr:col>
      <xdr:colOff>0</xdr:colOff>
      <xdr:row>168</xdr:row>
      <xdr:rowOff>114300</xdr:rowOff>
    </xdr:to>
    <xdr:pic>
      <xdr:nvPicPr>
        <xdr:cNvPr id="45" name="Picture 44" descr="favicon"/>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2983230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xdr:row>
      <xdr:rowOff>0</xdr:rowOff>
    </xdr:from>
    <xdr:to>
      <xdr:col>4</xdr:col>
      <xdr:colOff>266700</xdr:colOff>
      <xdr:row>175</xdr:row>
      <xdr:rowOff>38100</xdr:rowOff>
    </xdr:to>
    <xdr:pic>
      <xdr:nvPicPr>
        <xdr:cNvPr id="46" name="Picture 45" descr="https://encrypted-tbn0.gstatic.com/images?q=tbn:ANd9GcTzwRaHAQI7MaZp7aQHcB3J6Nvo6UkmOSVn_sIpCcOifXnuaN33"/>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30568900"/>
          <a:ext cx="2705100"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xdr:row>
      <xdr:rowOff>0</xdr:rowOff>
    </xdr:from>
    <xdr:to>
      <xdr:col>0</xdr:col>
      <xdr:colOff>304800</xdr:colOff>
      <xdr:row>168</xdr:row>
      <xdr:rowOff>120650</xdr:rowOff>
    </xdr:to>
    <xdr:pic>
      <xdr:nvPicPr>
        <xdr:cNvPr id="47" name="Picture 46" descr="favicon"/>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0" y="30753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xdr:row>
      <xdr:rowOff>0</xdr:rowOff>
    </xdr:from>
    <xdr:to>
      <xdr:col>2</xdr:col>
      <xdr:colOff>0</xdr:colOff>
      <xdr:row>177</xdr:row>
      <xdr:rowOff>114300</xdr:rowOff>
    </xdr:to>
    <xdr:pic>
      <xdr:nvPicPr>
        <xdr:cNvPr id="48" name="Picture 47" descr="favicon"/>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0" y="3148965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xdr:row>
      <xdr:rowOff>0</xdr:rowOff>
    </xdr:from>
    <xdr:to>
      <xdr:col>0</xdr:col>
      <xdr:colOff>304800</xdr:colOff>
      <xdr:row>175</xdr:row>
      <xdr:rowOff>120650</xdr:rowOff>
    </xdr:to>
    <xdr:pic>
      <xdr:nvPicPr>
        <xdr:cNvPr id="49" name="Picture 48" descr="undefine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204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xdr:row>
      <xdr:rowOff>0</xdr:rowOff>
    </xdr:from>
    <xdr:to>
      <xdr:col>0</xdr:col>
      <xdr:colOff>304800</xdr:colOff>
      <xdr:row>176</xdr:row>
      <xdr:rowOff>120650</xdr:rowOff>
    </xdr:to>
    <xdr:pic>
      <xdr:nvPicPr>
        <xdr:cNvPr id="50" name="Picture 49" descr="undefine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22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xdr:row>
      <xdr:rowOff>0</xdr:rowOff>
    </xdr:from>
    <xdr:to>
      <xdr:col>0</xdr:col>
      <xdr:colOff>152400</xdr:colOff>
      <xdr:row>176</xdr:row>
      <xdr:rowOff>152400</xdr:rowOff>
    </xdr:to>
    <xdr:pic>
      <xdr:nvPicPr>
        <xdr:cNvPr id="51" name="Picture 50" descr="undefined"/>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41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xdr:row>
      <xdr:rowOff>0</xdr:rowOff>
    </xdr:from>
    <xdr:to>
      <xdr:col>5</xdr:col>
      <xdr:colOff>0</xdr:colOff>
      <xdr:row>189</xdr:row>
      <xdr:rowOff>25400</xdr:rowOff>
    </xdr:to>
    <xdr:pic>
      <xdr:nvPicPr>
        <xdr:cNvPr id="52" name="Picture 51" descr="https://encrypted-tbn2.gstatic.com/images?q=tbn:ANd9GcRfuUOJch56siLtVl_hk-9U6vqMH0QJXzVJ0eKShHwezkh6voxU"/>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3331150"/>
          <a:ext cx="3048000" cy="149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xdr:row>
      <xdr:rowOff>0</xdr:rowOff>
    </xdr:from>
    <xdr:to>
      <xdr:col>0</xdr:col>
      <xdr:colOff>304800</xdr:colOff>
      <xdr:row>183</xdr:row>
      <xdr:rowOff>120650</xdr:rowOff>
    </xdr:to>
    <xdr:pic>
      <xdr:nvPicPr>
        <xdr:cNvPr id="53" name="Picture 52" descr="favicon"/>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351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xdr:row>
      <xdr:rowOff>0</xdr:rowOff>
    </xdr:from>
    <xdr:to>
      <xdr:col>5</xdr:col>
      <xdr:colOff>95250</xdr:colOff>
      <xdr:row>193</xdr:row>
      <xdr:rowOff>171450</xdr:rowOff>
    </xdr:to>
    <xdr:pic>
      <xdr:nvPicPr>
        <xdr:cNvPr id="54" name="Picture 53" descr="https://encrypted-tbn1.gstatic.com/images?q=tbn:ANd9GcQMCPfySmrJ1Eynmz_3QizQRWh9avQISRBObgeRoVYpNZYPCcyT"/>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34251900"/>
          <a:ext cx="3143250" cy="146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xdr:row>
      <xdr:rowOff>0</xdr:rowOff>
    </xdr:from>
    <xdr:to>
      <xdr:col>0</xdr:col>
      <xdr:colOff>304800</xdr:colOff>
      <xdr:row>188</xdr:row>
      <xdr:rowOff>120650</xdr:rowOff>
    </xdr:to>
    <xdr:pic>
      <xdr:nvPicPr>
        <xdr:cNvPr id="55" name="Picture 54" descr="favicon"/>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436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xdr:row>
      <xdr:rowOff>0</xdr:rowOff>
    </xdr:from>
    <xdr:to>
      <xdr:col>4</xdr:col>
      <xdr:colOff>114300</xdr:colOff>
      <xdr:row>200</xdr:row>
      <xdr:rowOff>133350</xdr:rowOff>
    </xdr:to>
    <xdr:pic>
      <xdr:nvPicPr>
        <xdr:cNvPr id="56" name="Picture 55" descr="https://encrypted-tbn2.gstatic.com/images?q=tbn:ANd9GcRrZKYGO0cyETLuyjwuk7ZGYSrbB7ZqZ6YBVkHe4A6lEGVHFnqn"/>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5172650"/>
          <a:ext cx="255270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xdr:row>
      <xdr:rowOff>0</xdr:rowOff>
    </xdr:from>
    <xdr:to>
      <xdr:col>0</xdr:col>
      <xdr:colOff>152400</xdr:colOff>
      <xdr:row>192</xdr:row>
      <xdr:rowOff>152400</xdr:rowOff>
    </xdr:to>
    <xdr:pic>
      <xdr:nvPicPr>
        <xdr:cNvPr id="57" name="Picture 56" descr="favico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35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xdr:row>
      <xdr:rowOff>0</xdr:rowOff>
    </xdr:from>
    <xdr:to>
      <xdr:col>0</xdr:col>
      <xdr:colOff>304800</xdr:colOff>
      <xdr:row>206</xdr:row>
      <xdr:rowOff>120650</xdr:rowOff>
    </xdr:to>
    <xdr:sp macro="" textlink="">
      <xdr:nvSpPr>
        <xdr:cNvPr id="6201" name="AutoShape 57" descr="data:image/gif;base64,R0lGODlhAQABAIAAAP///wAAACH5BAEAAAAALAAAAAABAAEAAAICRAEAOw=="/>
        <xdr:cNvSpPr>
          <a:spLocks noChangeAspect="1" noChangeArrowheads="1"/>
        </xdr:cNvSpPr>
      </xdr:nvSpPr>
      <xdr:spPr bwMode="auto">
        <a:xfrm>
          <a:off x="0" y="3775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210</xdr:row>
      <xdr:rowOff>0</xdr:rowOff>
    </xdr:from>
    <xdr:to>
      <xdr:col>0</xdr:col>
      <xdr:colOff>304800</xdr:colOff>
      <xdr:row>211</xdr:row>
      <xdr:rowOff>120650</xdr:rowOff>
    </xdr:to>
    <xdr:sp macro="" textlink="">
      <xdr:nvSpPr>
        <xdr:cNvPr id="6202" name="AutoShape 58" descr="data:image/gif;base64,R0lGODlhAQABAIAAAP///wAAACH5BAEAAAAALAAAAAABAAEAAAICRAEAOw=="/>
        <xdr:cNvSpPr>
          <a:spLocks noChangeAspect="1" noChangeArrowheads="1"/>
        </xdr:cNvSpPr>
      </xdr:nvSpPr>
      <xdr:spPr bwMode="auto">
        <a:xfrm>
          <a:off x="0" y="386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xdr:row>
      <xdr:rowOff>0</xdr:rowOff>
    </xdr:from>
    <xdr:to>
      <xdr:col>0</xdr:col>
      <xdr:colOff>304800</xdr:colOff>
      <xdr:row>217</xdr:row>
      <xdr:rowOff>120650</xdr:rowOff>
    </xdr:to>
    <xdr:sp macro="" textlink="">
      <xdr:nvSpPr>
        <xdr:cNvPr id="6203" name="AutoShape 59" descr="data:image/gif;base64,R0lGODlhAQABAIAAAP///wAAACH5BAEAAAAALAAAAAABAAEAAAICRAEAOw=="/>
        <xdr:cNvSpPr>
          <a:spLocks noChangeAspect="1" noChangeArrowheads="1"/>
        </xdr:cNvSpPr>
      </xdr:nvSpPr>
      <xdr:spPr bwMode="auto">
        <a:xfrm>
          <a:off x="0" y="3977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220</xdr:row>
      <xdr:rowOff>0</xdr:rowOff>
    </xdr:from>
    <xdr:to>
      <xdr:col>0</xdr:col>
      <xdr:colOff>304800</xdr:colOff>
      <xdr:row>221</xdr:row>
      <xdr:rowOff>120650</xdr:rowOff>
    </xdr:to>
    <xdr:sp macro="" textlink="">
      <xdr:nvSpPr>
        <xdr:cNvPr id="6204" name="AutoShape 60" descr="data:image/gif;base64,R0lGODlhAQABAIAAAP///wAAACH5BAEAAAAALAAAAAABAAEAAAICRAEAOw=="/>
        <xdr:cNvSpPr>
          <a:spLocks noChangeAspect="1" noChangeArrowheads="1"/>
        </xdr:cNvSpPr>
      </xdr:nvSpPr>
      <xdr:spPr bwMode="auto">
        <a:xfrm>
          <a:off x="0" y="405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224</xdr:row>
      <xdr:rowOff>0</xdr:rowOff>
    </xdr:from>
    <xdr:to>
      <xdr:col>0</xdr:col>
      <xdr:colOff>304800</xdr:colOff>
      <xdr:row>225</xdr:row>
      <xdr:rowOff>120650</xdr:rowOff>
    </xdr:to>
    <xdr:sp macro="" textlink="">
      <xdr:nvSpPr>
        <xdr:cNvPr id="6205" name="AutoShape 61" descr="data:image/gif;base64,R0lGODlhAQABAIAAAP///wAAACH5BAEAAAAALAAAAAABAAEAAAICRAEAOw=="/>
        <xdr:cNvSpPr>
          <a:spLocks noChangeAspect="1" noChangeArrowheads="1"/>
        </xdr:cNvSpPr>
      </xdr:nvSpPr>
      <xdr:spPr bwMode="auto">
        <a:xfrm>
          <a:off x="0" y="4124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228</xdr:row>
      <xdr:rowOff>0</xdr:rowOff>
    </xdr:from>
    <xdr:to>
      <xdr:col>0</xdr:col>
      <xdr:colOff>304800</xdr:colOff>
      <xdr:row>229</xdr:row>
      <xdr:rowOff>120650</xdr:rowOff>
    </xdr:to>
    <xdr:sp macro="" textlink="">
      <xdr:nvSpPr>
        <xdr:cNvPr id="6206" name="AutoShape 62" descr="data:image/gif;base64,R0lGODlhAQABAIAAAP///wAAACH5BAEAAAAALAAAAAABAAEAAAICRAEAOw=="/>
        <xdr:cNvSpPr>
          <a:spLocks noChangeAspect="1" noChangeArrowheads="1"/>
        </xdr:cNvSpPr>
      </xdr:nvSpPr>
      <xdr:spPr bwMode="auto">
        <a:xfrm>
          <a:off x="0" y="419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235</xdr:row>
      <xdr:rowOff>0</xdr:rowOff>
    </xdr:from>
    <xdr:to>
      <xdr:col>0</xdr:col>
      <xdr:colOff>304800</xdr:colOff>
      <xdr:row>236</xdr:row>
      <xdr:rowOff>120650</xdr:rowOff>
    </xdr:to>
    <xdr:sp macro="" textlink="">
      <xdr:nvSpPr>
        <xdr:cNvPr id="6207" name="AutoShape 63" descr="data:image/gif;base64,R0lGODlhAQABAIAAAP///wAAACH5BAEAAAAALAAAAAABAAEAAAICRAEAOw=="/>
        <xdr:cNvSpPr>
          <a:spLocks noChangeAspect="1" noChangeArrowheads="1"/>
        </xdr:cNvSpPr>
      </xdr:nvSpPr>
      <xdr:spPr bwMode="auto">
        <a:xfrm>
          <a:off x="0" y="432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239</xdr:row>
      <xdr:rowOff>0</xdr:rowOff>
    </xdr:from>
    <xdr:to>
      <xdr:col>0</xdr:col>
      <xdr:colOff>304800</xdr:colOff>
      <xdr:row>240</xdr:row>
      <xdr:rowOff>120650</xdr:rowOff>
    </xdr:to>
    <xdr:sp macro="" textlink="">
      <xdr:nvSpPr>
        <xdr:cNvPr id="6208" name="AutoShape 64" descr="data:image/gif;base64,R0lGODlhAQABAIAAAP///wAAACH5BAEAAAAALAAAAAABAAEAAAICRAEAOw=="/>
        <xdr:cNvSpPr>
          <a:spLocks noChangeAspect="1" noChangeArrowheads="1"/>
        </xdr:cNvSpPr>
      </xdr:nvSpPr>
      <xdr:spPr bwMode="auto">
        <a:xfrm>
          <a:off x="0" y="4401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244</xdr:row>
      <xdr:rowOff>0</xdr:rowOff>
    </xdr:from>
    <xdr:to>
      <xdr:col>0</xdr:col>
      <xdr:colOff>304800</xdr:colOff>
      <xdr:row>245</xdr:row>
      <xdr:rowOff>120650</xdr:rowOff>
    </xdr:to>
    <xdr:sp macro="" textlink="">
      <xdr:nvSpPr>
        <xdr:cNvPr id="6209" name="AutoShape 65" descr="data:image/gif;base64,R0lGODlhAQABAIAAAP///wAAACH5BAEAAAAALAAAAAABAAEAAAICRAEAOw=="/>
        <xdr:cNvSpPr>
          <a:spLocks noChangeAspect="1" noChangeArrowheads="1"/>
        </xdr:cNvSpPr>
      </xdr:nvSpPr>
      <xdr:spPr bwMode="auto">
        <a:xfrm>
          <a:off x="0" y="4493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250</xdr:row>
      <xdr:rowOff>0</xdr:rowOff>
    </xdr:from>
    <xdr:to>
      <xdr:col>0</xdr:col>
      <xdr:colOff>304800</xdr:colOff>
      <xdr:row>251</xdr:row>
      <xdr:rowOff>120650</xdr:rowOff>
    </xdr:to>
    <xdr:sp macro="" textlink="">
      <xdr:nvSpPr>
        <xdr:cNvPr id="6210" name="AutoShape 66" descr="data:image/gif;base64,R0lGODlhAQABAIAAAP///wAAACH5BAEAAAAALAAAAAABAAEAAAICRAEAOw=="/>
        <xdr:cNvSpPr>
          <a:spLocks noChangeAspect="1" noChangeArrowheads="1"/>
        </xdr:cNvSpPr>
      </xdr:nvSpPr>
      <xdr:spPr bwMode="auto">
        <a:xfrm>
          <a:off x="0" y="460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256</xdr:row>
      <xdr:rowOff>0</xdr:rowOff>
    </xdr:from>
    <xdr:to>
      <xdr:col>0</xdr:col>
      <xdr:colOff>304800</xdr:colOff>
      <xdr:row>257</xdr:row>
      <xdr:rowOff>120650</xdr:rowOff>
    </xdr:to>
    <xdr:sp macro="" textlink="">
      <xdr:nvSpPr>
        <xdr:cNvPr id="6211" name="AutoShape 67" descr="data:image/gif;base64,R0lGODlhAQABAIAAAP///wAAACH5BAEAAAAALAAAAAABAAEAAAICRAEAOw=="/>
        <xdr:cNvSpPr>
          <a:spLocks noChangeAspect="1" noChangeArrowheads="1"/>
        </xdr:cNvSpPr>
      </xdr:nvSpPr>
      <xdr:spPr bwMode="auto">
        <a:xfrm>
          <a:off x="0" y="4714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261</xdr:row>
      <xdr:rowOff>0</xdr:rowOff>
    </xdr:from>
    <xdr:to>
      <xdr:col>0</xdr:col>
      <xdr:colOff>304800</xdr:colOff>
      <xdr:row>262</xdr:row>
      <xdr:rowOff>120650</xdr:rowOff>
    </xdr:to>
    <xdr:sp macro="" textlink="">
      <xdr:nvSpPr>
        <xdr:cNvPr id="6212" name="AutoShape 68" descr="data:image/gif;base64,R0lGODlhAQABAIAAAP///wAAACH5BAEAAAAALAAAAAABAAEAAAICRAEAOw=="/>
        <xdr:cNvSpPr>
          <a:spLocks noChangeAspect="1" noChangeArrowheads="1"/>
        </xdr:cNvSpPr>
      </xdr:nvSpPr>
      <xdr:spPr bwMode="auto">
        <a:xfrm>
          <a:off x="0" y="4806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266</xdr:row>
      <xdr:rowOff>0</xdr:rowOff>
    </xdr:from>
    <xdr:to>
      <xdr:col>0</xdr:col>
      <xdr:colOff>304800</xdr:colOff>
      <xdr:row>267</xdr:row>
      <xdr:rowOff>120650</xdr:rowOff>
    </xdr:to>
    <xdr:sp macro="" textlink="">
      <xdr:nvSpPr>
        <xdr:cNvPr id="6213" name="AutoShape 69" descr="data:image/gif;base64,R0lGODlhAQABAIAAAP///wAAACH5BAEAAAAALAAAAAABAAEAAAICRAEAOw=="/>
        <xdr:cNvSpPr>
          <a:spLocks noChangeAspect="1" noChangeArrowheads="1"/>
        </xdr:cNvSpPr>
      </xdr:nvSpPr>
      <xdr:spPr bwMode="auto">
        <a:xfrm>
          <a:off x="0" y="4898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270</xdr:row>
      <xdr:rowOff>0</xdr:rowOff>
    </xdr:from>
    <xdr:to>
      <xdr:col>0</xdr:col>
      <xdr:colOff>304800</xdr:colOff>
      <xdr:row>271</xdr:row>
      <xdr:rowOff>120650</xdr:rowOff>
    </xdr:to>
    <xdr:sp macro="" textlink="">
      <xdr:nvSpPr>
        <xdr:cNvPr id="6214" name="AutoShape 70" descr="data:image/gif;base64,R0lGODlhAQABAIAAAP///wAAACH5BAEAAAAALAAAAAABAAEAAAICRAEAOw=="/>
        <xdr:cNvSpPr>
          <a:spLocks noChangeAspect="1" noChangeArrowheads="1"/>
        </xdr:cNvSpPr>
      </xdr:nvSpPr>
      <xdr:spPr bwMode="auto">
        <a:xfrm>
          <a:off x="0" y="497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276</xdr:row>
      <xdr:rowOff>0</xdr:rowOff>
    </xdr:from>
    <xdr:to>
      <xdr:col>0</xdr:col>
      <xdr:colOff>304800</xdr:colOff>
      <xdr:row>277</xdr:row>
      <xdr:rowOff>120650</xdr:rowOff>
    </xdr:to>
    <xdr:sp macro="" textlink="">
      <xdr:nvSpPr>
        <xdr:cNvPr id="6215" name="AutoShape 71" descr="data:image/gif;base64,R0lGODlhAQABAIAAAP///wAAACH5BAEAAAAALAAAAAABAAEAAAICRAEAOw=="/>
        <xdr:cNvSpPr>
          <a:spLocks noChangeAspect="1" noChangeArrowheads="1"/>
        </xdr:cNvSpPr>
      </xdr:nvSpPr>
      <xdr:spPr bwMode="auto">
        <a:xfrm>
          <a:off x="0" y="5082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280</xdr:row>
      <xdr:rowOff>0</xdr:rowOff>
    </xdr:from>
    <xdr:to>
      <xdr:col>0</xdr:col>
      <xdr:colOff>304800</xdr:colOff>
      <xdr:row>281</xdr:row>
      <xdr:rowOff>120650</xdr:rowOff>
    </xdr:to>
    <xdr:sp macro="" textlink="">
      <xdr:nvSpPr>
        <xdr:cNvPr id="6216" name="AutoShape 72" descr="data:image/gif;base64,R0lGODlhAQABAIAAAP///wAAACH5BAEAAAAALAAAAAABAAEAAAICRAEAOw=="/>
        <xdr:cNvSpPr>
          <a:spLocks noChangeAspect="1" noChangeArrowheads="1"/>
        </xdr:cNvSpPr>
      </xdr:nvSpPr>
      <xdr:spPr bwMode="auto">
        <a:xfrm>
          <a:off x="0" y="515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284</xdr:row>
      <xdr:rowOff>0</xdr:rowOff>
    </xdr:from>
    <xdr:to>
      <xdr:col>0</xdr:col>
      <xdr:colOff>304800</xdr:colOff>
      <xdr:row>285</xdr:row>
      <xdr:rowOff>120650</xdr:rowOff>
    </xdr:to>
    <xdr:sp macro="" textlink="">
      <xdr:nvSpPr>
        <xdr:cNvPr id="6217" name="AutoShape 73" descr="data:image/gif;base64,R0lGODlhAQABAIAAAP///wAAACH5BAEAAAAALAAAAAABAAEAAAICRAEAOw=="/>
        <xdr:cNvSpPr>
          <a:spLocks noChangeAspect="1" noChangeArrowheads="1"/>
        </xdr:cNvSpPr>
      </xdr:nvSpPr>
      <xdr:spPr bwMode="auto">
        <a:xfrm>
          <a:off x="0" y="5229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289</xdr:row>
      <xdr:rowOff>0</xdr:rowOff>
    </xdr:from>
    <xdr:to>
      <xdr:col>0</xdr:col>
      <xdr:colOff>304800</xdr:colOff>
      <xdr:row>290</xdr:row>
      <xdr:rowOff>120650</xdr:rowOff>
    </xdr:to>
    <xdr:sp macro="" textlink="">
      <xdr:nvSpPr>
        <xdr:cNvPr id="6218" name="AutoShape 74" descr="data:image/gif;base64,R0lGODlhAQABAIAAAP///wAAACH5BAEAAAAALAAAAAABAAEAAAICRAEAOw=="/>
        <xdr:cNvSpPr>
          <a:spLocks noChangeAspect="1" noChangeArrowheads="1"/>
        </xdr:cNvSpPr>
      </xdr:nvSpPr>
      <xdr:spPr bwMode="auto">
        <a:xfrm>
          <a:off x="0" y="5321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293</xdr:row>
      <xdr:rowOff>0</xdr:rowOff>
    </xdr:from>
    <xdr:to>
      <xdr:col>0</xdr:col>
      <xdr:colOff>304800</xdr:colOff>
      <xdr:row>294</xdr:row>
      <xdr:rowOff>120650</xdr:rowOff>
    </xdr:to>
    <xdr:sp macro="" textlink="">
      <xdr:nvSpPr>
        <xdr:cNvPr id="6219" name="AutoShape 75" descr="data:image/gif;base64,R0lGODlhAQABAIAAAP///wAAACH5BAEAAAAALAAAAAABAAEAAAICRAEAOw=="/>
        <xdr:cNvSpPr>
          <a:spLocks noChangeAspect="1" noChangeArrowheads="1"/>
        </xdr:cNvSpPr>
      </xdr:nvSpPr>
      <xdr:spPr bwMode="auto">
        <a:xfrm>
          <a:off x="0" y="5395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297</xdr:row>
      <xdr:rowOff>0</xdr:rowOff>
    </xdr:from>
    <xdr:to>
      <xdr:col>0</xdr:col>
      <xdr:colOff>304800</xdr:colOff>
      <xdr:row>298</xdr:row>
      <xdr:rowOff>120650</xdr:rowOff>
    </xdr:to>
    <xdr:sp macro="" textlink="">
      <xdr:nvSpPr>
        <xdr:cNvPr id="6220" name="AutoShape 76" descr="data:image/gif;base64,R0lGODlhAQABAIAAAP///wAAACH5BAEAAAAALAAAAAABAAEAAAICRAEAOw=="/>
        <xdr:cNvSpPr>
          <a:spLocks noChangeAspect="1" noChangeArrowheads="1"/>
        </xdr:cNvSpPr>
      </xdr:nvSpPr>
      <xdr:spPr bwMode="auto">
        <a:xfrm>
          <a:off x="0" y="5469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308</xdr:row>
      <xdr:rowOff>0</xdr:rowOff>
    </xdr:from>
    <xdr:to>
      <xdr:col>0</xdr:col>
      <xdr:colOff>304800</xdr:colOff>
      <xdr:row>309</xdr:row>
      <xdr:rowOff>120650</xdr:rowOff>
    </xdr:to>
    <xdr:sp macro="" textlink="">
      <xdr:nvSpPr>
        <xdr:cNvPr id="6221" name="AutoShape 77" descr="data:image/gif;base64,R0lGODlhAQABAIAAAP///wAAACH5BAEAAAAALAAAAAABAAEAAAICRAEAOw=="/>
        <xdr:cNvSpPr>
          <a:spLocks noChangeAspect="1" noChangeArrowheads="1"/>
        </xdr:cNvSpPr>
      </xdr:nvSpPr>
      <xdr:spPr bwMode="auto">
        <a:xfrm>
          <a:off x="0" y="567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312</xdr:row>
      <xdr:rowOff>0</xdr:rowOff>
    </xdr:from>
    <xdr:to>
      <xdr:col>0</xdr:col>
      <xdr:colOff>304800</xdr:colOff>
      <xdr:row>313</xdr:row>
      <xdr:rowOff>120650</xdr:rowOff>
    </xdr:to>
    <xdr:sp macro="" textlink="">
      <xdr:nvSpPr>
        <xdr:cNvPr id="6222" name="AutoShape 78" descr="data:image/gif;base64,R0lGODlhAQABAIAAAP///wAAACH5BAEAAAAALAAAAAABAAEAAAICRAEAOw=="/>
        <xdr:cNvSpPr>
          <a:spLocks noChangeAspect="1" noChangeArrowheads="1"/>
        </xdr:cNvSpPr>
      </xdr:nvSpPr>
      <xdr:spPr bwMode="auto">
        <a:xfrm>
          <a:off x="0" y="574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316</xdr:row>
      <xdr:rowOff>0</xdr:rowOff>
    </xdr:from>
    <xdr:to>
      <xdr:col>0</xdr:col>
      <xdr:colOff>304800</xdr:colOff>
      <xdr:row>317</xdr:row>
      <xdr:rowOff>120650</xdr:rowOff>
    </xdr:to>
    <xdr:sp macro="" textlink="">
      <xdr:nvSpPr>
        <xdr:cNvPr id="6223" name="AutoShape 79" descr="data:image/gif;base64,R0lGODlhAQABAIAAAP///wAAACH5BAEAAAAALAAAAAABAAEAAAICRAEAOw=="/>
        <xdr:cNvSpPr>
          <a:spLocks noChangeAspect="1" noChangeArrowheads="1"/>
        </xdr:cNvSpPr>
      </xdr:nvSpPr>
      <xdr:spPr bwMode="auto">
        <a:xfrm>
          <a:off x="0" y="5819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321</xdr:row>
      <xdr:rowOff>0</xdr:rowOff>
    </xdr:from>
    <xdr:to>
      <xdr:col>0</xdr:col>
      <xdr:colOff>304800</xdr:colOff>
      <xdr:row>322</xdr:row>
      <xdr:rowOff>120650</xdr:rowOff>
    </xdr:to>
    <xdr:sp macro="" textlink="">
      <xdr:nvSpPr>
        <xdr:cNvPr id="6224" name="AutoShape 80" descr="data:image/gif;base64,R0lGODlhAQABAIAAAP///wAAACH5BAEAAAAALAAAAAABAAEAAAICRAEAOw=="/>
        <xdr:cNvSpPr>
          <a:spLocks noChangeAspect="1" noChangeArrowheads="1"/>
        </xdr:cNvSpPr>
      </xdr:nvSpPr>
      <xdr:spPr bwMode="auto">
        <a:xfrm>
          <a:off x="0" y="5911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325</xdr:row>
      <xdr:rowOff>0</xdr:rowOff>
    </xdr:from>
    <xdr:to>
      <xdr:col>0</xdr:col>
      <xdr:colOff>304800</xdr:colOff>
      <xdr:row>326</xdr:row>
      <xdr:rowOff>120650</xdr:rowOff>
    </xdr:to>
    <xdr:sp macro="" textlink="">
      <xdr:nvSpPr>
        <xdr:cNvPr id="6225" name="AutoShape 81" descr="data:image/gif;base64,R0lGODlhAQABAIAAAP///wAAACH5BAEAAAAALAAAAAABAAEAAAICRAEAOw=="/>
        <xdr:cNvSpPr>
          <a:spLocks noChangeAspect="1" noChangeArrowheads="1"/>
        </xdr:cNvSpPr>
      </xdr:nvSpPr>
      <xdr:spPr bwMode="auto">
        <a:xfrm>
          <a:off x="0" y="5984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olicies.google.com/privacy?hl=en" TargetMode="External"/><Relationship Id="rId1" Type="http://schemas.openxmlformats.org/officeDocument/2006/relationships/hyperlink" Target="https://support.google.com/websearch?p=aim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0"/>
  <sheetViews>
    <sheetView workbookViewId="0">
      <selection activeCell="H13" sqref="H13"/>
    </sheetView>
  </sheetViews>
  <sheetFormatPr defaultRowHeight="14.4" x14ac:dyDescent="0.3"/>
  <cols>
    <col min="4" max="4" width="0" hidden="1" customWidth="1"/>
    <col min="5" max="5" width="14.09765625" customWidth="1"/>
  </cols>
  <sheetData>
    <row r="1" spans="1:10" x14ac:dyDescent="0.3">
      <c r="A1" s="55" t="s">
        <v>0</v>
      </c>
      <c r="B1" s="56"/>
      <c r="C1" s="57"/>
      <c r="D1" s="55" t="s">
        <v>1</v>
      </c>
      <c r="E1" s="57"/>
      <c r="F1" s="55" t="s">
        <v>2</v>
      </c>
      <c r="G1" s="56"/>
      <c r="H1" s="56"/>
      <c r="I1" s="57"/>
      <c r="J1" s="1"/>
    </row>
    <row r="2" spans="1:10" ht="28.8" x14ac:dyDescent="0.3">
      <c r="A2" s="1" t="s">
        <v>3</v>
      </c>
      <c r="B2" s="1" t="s">
        <v>5</v>
      </c>
      <c r="C2" s="2" t="s">
        <v>4</v>
      </c>
      <c r="D2" s="2" t="s">
        <v>6</v>
      </c>
      <c r="E2" s="2" t="s">
        <v>7</v>
      </c>
      <c r="F2" s="1" t="s">
        <v>8</v>
      </c>
      <c r="G2" s="2" t="s">
        <v>9</v>
      </c>
      <c r="H2" s="1" t="s">
        <v>10</v>
      </c>
      <c r="I2" s="2" t="s">
        <v>9</v>
      </c>
      <c r="J2" s="1" t="s">
        <v>11</v>
      </c>
    </row>
    <row r="3" spans="1:10" x14ac:dyDescent="0.3">
      <c r="A3" s="3" t="s">
        <v>12</v>
      </c>
      <c r="B3" s="3" t="s">
        <v>13</v>
      </c>
      <c r="C3" s="3">
        <v>2000</v>
      </c>
      <c r="D3" s="3" t="s">
        <v>13</v>
      </c>
      <c r="E3" s="3" t="s">
        <v>14</v>
      </c>
      <c r="F3" s="3" t="s">
        <v>15</v>
      </c>
      <c r="G3" s="3">
        <v>6</v>
      </c>
      <c r="H3" s="3" t="s">
        <v>16</v>
      </c>
      <c r="I3" s="3">
        <v>4</v>
      </c>
      <c r="J3" s="3" t="s">
        <v>17</v>
      </c>
    </row>
    <row r="4" spans="1:10" x14ac:dyDescent="0.3">
      <c r="A4" s="3" t="s">
        <v>18</v>
      </c>
      <c r="B4" s="3" t="s">
        <v>13</v>
      </c>
      <c r="C4" s="3">
        <v>1500</v>
      </c>
      <c r="D4" s="3" t="s">
        <v>13</v>
      </c>
      <c r="E4" s="3" t="s">
        <v>14</v>
      </c>
      <c r="F4" s="3" t="s">
        <v>15</v>
      </c>
      <c r="G4" s="3">
        <v>8</v>
      </c>
      <c r="H4" s="3" t="s">
        <v>16</v>
      </c>
      <c r="I4" s="3">
        <v>2</v>
      </c>
      <c r="J4" s="3" t="s">
        <v>17</v>
      </c>
    </row>
    <row r="5" spans="1:10" x14ac:dyDescent="0.3">
      <c r="A5" s="3" t="s">
        <v>19</v>
      </c>
      <c r="B5" s="3" t="s">
        <v>13</v>
      </c>
      <c r="C5" s="3">
        <v>1100</v>
      </c>
      <c r="D5" s="3" t="s">
        <v>13</v>
      </c>
      <c r="E5" s="3" t="s">
        <v>14</v>
      </c>
      <c r="F5" s="3" t="s">
        <v>16</v>
      </c>
      <c r="G5" s="3">
        <v>4</v>
      </c>
      <c r="H5" s="3" t="s">
        <v>17</v>
      </c>
      <c r="I5" s="3" t="s">
        <v>17</v>
      </c>
      <c r="J5" s="3" t="s">
        <v>17</v>
      </c>
    </row>
    <row r="6" spans="1:10" x14ac:dyDescent="0.3">
      <c r="A6" s="3" t="s">
        <v>18</v>
      </c>
      <c r="B6" s="3" t="s">
        <v>13</v>
      </c>
      <c r="C6" s="3">
        <v>1500</v>
      </c>
      <c r="D6" s="3" t="s">
        <v>13</v>
      </c>
      <c r="E6" s="3" t="s">
        <v>14</v>
      </c>
      <c r="F6" s="3" t="s">
        <v>15</v>
      </c>
      <c r="G6" s="3">
        <v>8</v>
      </c>
      <c r="H6" s="3" t="s">
        <v>16</v>
      </c>
      <c r="I6" s="3">
        <v>2</v>
      </c>
      <c r="J6" s="3" t="s">
        <v>17</v>
      </c>
    </row>
    <row r="7" spans="1:10" x14ac:dyDescent="0.3">
      <c r="A7" s="3" t="s">
        <v>18</v>
      </c>
      <c r="B7" s="3" t="s">
        <v>13</v>
      </c>
      <c r="C7" s="3">
        <v>1500</v>
      </c>
      <c r="D7" s="3" t="s">
        <v>13</v>
      </c>
      <c r="E7" s="3" t="s">
        <v>14</v>
      </c>
      <c r="F7" s="3" t="s">
        <v>15</v>
      </c>
      <c r="G7" s="3">
        <v>8</v>
      </c>
      <c r="H7" s="3" t="s">
        <v>16</v>
      </c>
      <c r="I7" s="3">
        <v>2</v>
      </c>
      <c r="J7" s="3" t="s">
        <v>17</v>
      </c>
    </row>
    <row r="8" spans="1:10" x14ac:dyDescent="0.3">
      <c r="A8" s="3" t="s">
        <v>20</v>
      </c>
      <c r="B8" s="3" t="s">
        <v>13</v>
      </c>
      <c r="C8" s="3">
        <v>2000</v>
      </c>
      <c r="D8" s="3" t="s">
        <v>13</v>
      </c>
      <c r="E8" s="3" t="s">
        <v>14</v>
      </c>
      <c r="F8" s="3" t="s">
        <v>15</v>
      </c>
      <c r="G8" s="3">
        <v>6</v>
      </c>
      <c r="H8" s="3" t="s">
        <v>16</v>
      </c>
      <c r="I8" s="3">
        <v>6</v>
      </c>
      <c r="J8" s="3" t="s">
        <v>17</v>
      </c>
    </row>
    <row r="9" spans="1:10" x14ac:dyDescent="0.3">
      <c r="A9" s="3" t="s">
        <v>20</v>
      </c>
      <c r="B9" s="3" t="s">
        <v>13</v>
      </c>
      <c r="C9" s="3">
        <v>2000</v>
      </c>
      <c r="D9" s="3" t="s">
        <v>13</v>
      </c>
      <c r="E9" s="3" t="s">
        <v>14</v>
      </c>
      <c r="F9" s="3" t="s">
        <v>15</v>
      </c>
      <c r="G9" s="3">
        <v>6</v>
      </c>
      <c r="H9" s="3" t="s">
        <v>16</v>
      </c>
      <c r="I9" s="3">
        <v>6</v>
      </c>
      <c r="J9" s="3" t="s">
        <v>17</v>
      </c>
    </row>
    <row r="10" spans="1:10" x14ac:dyDescent="0.3">
      <c r="A10" s="4"/>
      <c r="B10" s="4"/>
      <c r="C10" s="4"/>
      <c r="D10" s="4"/>
      <c r="E10" s="4"/>
      <c r="F10" s="4"/>
      <c r="G10" s="4"/>
      <c r="H10" s="4"/>
      <c r="I10" s="4"/>
      <c r="J10" s="4"/>
    </row>
  </sheetData>
  <mergeCells count="3">
    <mergeCell ref="A1:C1"/>
    <mergeCell ref="D1:E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6"/>
  <sheetViews>
    <sheetView topLeftCell="A6" workbookViewId="0">
      <selection activeCell="H6" sqref="H6"/>
    </sheetView>
  </sheetViews>
  <sheetFormatPr defaultRowHeight="14.4" x14ac:dyDescent="0.3"/>
  <cols>
    <col min="1" max="1" width="6.8984375" customWidth="1"/>
    <col min="2" max="2" width="14.3984375" customWidth="1"/>
    <col min="5" max="5" width="10.59765625" hidden="1" customWidth="1"/>
    <col min="6" max="6" width="13.5" customWidth="1"/>
    <col min="7" max="7" width="14.3984375" customWidth="1"/>
    <col min="8" max="8" width="13.5" customWidth="1"/>
    <col min="9" max="9" width="17.796875" style="18" customWidth="1"/>
  </cols>
  <sheetData>
    <row r="1" spans="1:9" x14ac:dyDescent="0.3">
      <c r="A1" s="61" t="s">
        <v>21</v>
      </c>
      <c r="B1" s="58" t="s">
        <v>22</v>
      </c>
      <c r="C1" s="58" t="s">
        <v>6</v>
      </c>
      <c r="D1" s="58" t="s">
        <v>23</v>
      </c>
      <c r="E1" s="5" t="s">
        <v>24</v>
      </c>
      <c r="F1" s="58" t="s">
        <v>25</v>
      </c>
      <c r="G1" s="58" t="s">
        <v>26</v>
      </c>
      <c r="H1" s="58"/>
      <c r="I1" s="59" t="s">
        <v>11</v>
      </c>
    </row>
    <row r="2" spans="1:9" ht="57.6" x14ac:dyDescent="0.3">
      <c r="A2" s="62"/>
      <c r="B2" s="63"/>
      <c r="C2" s="63"/>
      <c r="D2" s="63"/>
      <c r="E2" s="6" t="s">
        <v>27</v>
      </c>
      <c r="F2" s="63"/>
      <c r="G2" s="6" t="s">
        <v>28</v>
      </c>
      <c r="H2" s="6" t="s">
        <v>29</v>
      </c>
      <c r="I2" s="60"/>
    </row>
    <row r="3" spans="1:9" ht="28.8" x14ac:dyDescent="0.3">
      <c r="A3" s="7">
        <v>1</v>
      </c>
      <c r="B3" s="9" t="s">
        <v>30</v>
      </c>
      <c r="C3" s="9" t="s">
        <v>31</v>
      </c>
      <c r="D3" s="9">
        <v>2000</v>
      </c>
      <c r="E3" s="8" t="s">
        <v>32</v>
      </c>
      <c r="F3" s="8" t="s">
        <v>33</v>
      </c>
      <c r="G3" s="8" t="s">
        <v>34</v>
      </c>
      <c r="H3" s="8" t="s">
        <v>35</v>
      </c>
      <c r="I3" s="10" t="s">
        <v>36</v>
      </c>
    </row>
    <row r="4" spans="1:9" ht="28.8" x14ac:dyDescent="0.3">
      <c r="A4" s="7">
        <v>2</v>
      </c>
      <c r="B4" s="11" t="s">
        <v>18</v>
      </c>
      <c r="C4" s="11" t="s">
        <v>13</v>
      </c>
      <c r="D4" s="11">
        <v>1500</v>
      </c>
      <c r="E4" s="8" t="s">
        <v>37</v>
      </c>
      <c r="F4" s="8" t="s">
        <v>33</v>
      </c>
      <c r="G4" s="8" t="s">
        <v>34</v>
      </c>
      <c r="H4" s="8" t="s">
        <v>35</v>
      </c>
      <c r="I4" s="10" t="s">
        <v>38</v>
      </c>
    </row>
    <row r="5" spans="1:9" ht="28.8" x14ac:dyDescent="0.3">
      <c r="A5" s="7">
        <v>3</v>
      </c>
      <c r="B5" s="11" t="s">
        <v>39</v>
      </c>
      <c r="C5" s="11" t="s">
        <v>13</v>
      </c>
      <c r="D5" s="11">
        <v>2000</v>
      </c>
      <c r="E5" s="8" t="s">
        <v>40</v>
      </c>
      <c r="F5" s="8" t="s">
        <v>33</v>
      </c>
      <c r="G5" s="8" t="s">
        <v>34</v>
      </c>
      <c r="H5" s="8" t="s">
        <v>35</v>
      </c>
      <c r="I5" s="10" t="s">
        <v>41</v>
      </c>
    </row>
    <row r="6" spans="1:9" ht="28.8" x14ac:dyDescent="0.3">
      <c r="A6" s="7">
        <v>4</v>
      </c>
      <c r="B6" s="11" t="s">
        <v>42</v>
      </c>
      <c r="C6" s="11" t="s">
        <v>13</v>
      </c>
      <c r="D6" s="11">
        <v>1500</v>
      </c>
      <c r="E6" s="8" t="s">
        <v>43</v>
      </c>
      <c r="F6" s="8" t="s">
        <v>33</v>
      </c>
      <c r="G6" s="24" t="s">
        <v>44</v>
      </c>
      <c r="H6" s="8" t="s">
        <v>45</v>
      </c>
      <c r="I6" s="10" t="s">
        <v>46</v>
      </c>
    </row>
    <row r="7" spans="1:9" ht="28.8" x14ac:dyDescent="0.3">
      <c r="A7" s="7">
        <v>5</v>
      </c>
      <c r="B7" s="11" t="s">
        <v>19</v>
      </c>
      <c r="C7" s="11" t="s">
        <v>13</v>
      </c>
      <c r="D7" s="11">
        <v>1100</v>
      </c>
      <c r="E7" s="8" t="s">
        <v>47</v>
      </c>
      <c r="F7" s="8" t="s">
        <v>33</v>
      </c>
      <c r="G7" s="24" t="s">
        <v>44</v>
      </c>
      <c r="H7" s="8" t="s">
        <v>45</v>
      </c>
      <c r="I7" s="10" t="s">
        <v>48</v>
      </c>
    </row>
    <row r="8" spans="1:9" ht="28.8" x14ac:dyDescent="0.3">
      <c r="A8" s="7">
        <v>6</v>
      </c>
      <c r="B8" s="11" t="s">
        <v>49</v>
      </c>
      <c r="C8" s="11" t="s">
        <v>13</v>
      </c>
      <c r="D8" s="11">
        <v>1750</v>
      </c>
      <c r="E8" s="8" t="s">
        <v>32</v>
      </c>
      <c r="F8" s="8" t="s">
        <v>33</v>
      </c>
      <c r="G8" s="8" t="s">
        <v>34</v>
      </c>
      <c r="H8" s="8" t="s">
        <v>44</v>
      </c>
      <c r="I8" s="10" t="s">
        <v>50</v>
      </c>
    </row>
    <row r="9" spans="1:9" ht="28.8" x14ac:dyDescent="0.3">
      <c r="A9" s="7">
        <v>7</v>
      </c>
      <c r="B9" s="11" t="s">
        <v>20</v>
      </c>
      <c r="C9" s="11" t="s">
        <v>13</v>
      </c>
      <c r="D9" s="11">
        <v>2000</v>
      </c>
      <c r="E9" s="8" t="s">
        <v>37</v>
      </c>
      <c r="F9" s="8" t="s">
        <v>33</v>
      </c>
      <c r="G9" s="8" t="s">
        <v>34</v>
      </c>
      <c r="H9" s="8" t="s">
        <v>44</v>
      </c>
      <c r="I9" s="10" t="s">
        <v>51</v>
      </c>
    </row>
    <row r="10" spans="1:9" ht="28.8" x14ac:dyDescent="0.3">
      <c r="A10" s="7">
        <v>8</v>
      </c>
      <c r="B10" s="11" t="s">
        <v>52</v>
      </c>
      <c r="C10" s="12" t="s">
        <v>53</v>
      </c>
      <c r="D10" s="11">
        <v>2000</v>
      </c>
      <c r="E10" s="8" t="s">
        <v>37</v>
      </c>
      <c r="F10" s="8" t="s">
        <v>54</v>
      </c>
      <c r="G10" s="8" t="s">
        <v>55</v>
      </c>
      <c r="H10" s="8" t="s">
        <v>56</v>
      </c>
      <c r="I10" s="10" t="s">
        <v>57</v>
      </c>
    </row>
    <row r="11" spans="1:9" ht="28.8" x14ac:dyDescent="0.3">
      <c r="A11" s="7">
        <v>9</v>
      </c>
      <c r="B11" s="11" t="s">
        <v>58</v>
      </c>
      <c r="C11" s="12" t="s">
        <v>53</v>
      </c>
      <c r="D11" s="11">
        <v>2000</v>
      </c>
      <c r="E11" s="8" t="s">
        <v>59</v>
      </c>
      <c r="F11" s="8" t="s">
        <v>17</v>
      </c>
      <c r="G11" s="13" t="s">
        <v>60</v>
      </c>
      <c r="H11" s="13" t="s">
        <v>60</v>
      </c>
      <c r="I11" s="10" t="s">
        <v>61</v>
      </c>
    </row>
    <row r="12" spans="1:9" ht="28.8" x14ac:dyDescent="0.3">
      <c r="A12" s="7">
        <v>10</v>
      </c>
      <c r="B12" s="11" t="s">
        <v>62</v>
      </c>
      <c r="C12" s="12" t="s">
        <v>53</v>
      </c>
      <c r="D12" s="11">
        <v>2000</v>
      </c>
      <c r="E12" s="8" t="s">
        <v>40</v>
      </c>
      <c r="F12" s="8" t="s">
        <v>17</v>
      </c>
      <c r="G12" s="13" t="s">
        <v>60</v>
      </c>
      <c r="H12" s="13" t="s">
        <v>60</v>
      </c>
      <c r="I12" s="10" t="s">
        <v>63</v>
      </c>
    </row>
    <row r="13" spans="1:9" ht="28.8" x14ac:dyDescent="0.3">
      <c r="A13" s="7">
        <v>11</v>
      </c>
      <c r="B13" s="11" t="s">
        <v>12</v>
      </c>
      <c r="C13" s="11" t="s">
        <v>13</v>
      </c>
      <c r="D13" s="11">
        <v>2000</v>
      </c>
      <c r="E13" s="8" t="s">
        <v>32</v>
      </c>
      <c r="F13" s="8" t="s">
        <v>33</v>
      </c>
      <c r="G13" s="8" t="s">
        <v>34</v>
      </c>
      <c r="H13" s="8" t="s">
        <v>44</v>
      </c>
      <c r="I13" s="10" t="s">
        <v>64</v>
      </c>
    </row>
    <row r="14" spans="1:9" ht="28.8" x14ac:dyDescent="0.3">
      <c r="A14" s="7">
        <v>12</v>
      </c>
      <c r="B14" s="11" t="s">
        <v>65</v>
      </c>
      <c r="C14" s="11" t="s">
        <v>13</v>
      </c>
      <c r="D14" s="11">
        <v>2000</v>
      </c>
      <c r="E14" s="8" t="s">
        <v>32</v>
      </c>
      <c r="F14" s="8" t="s">
        <v>17</v>
      </c>
      <c r="G14" s="13" t="s">
        <v>60</v>
      </c>
      <c r="H14" s="13" t="s">
        <v>60</v>
      </c>
      <c r="I14" s="10" t="s">
        <v>66</v>
      </c>
    </row>
    <row r="15" spans="1:9" ht="28.8" x14ac:dyDescent="0.3">
      <c r="A15" s="7">
        <v>13</v>
      </c>
      <c r="B15" s="11" t="s">
        <v>67</v>
      </c>
      <c r="C15" s="11" t="s">
        <v>13</v>
      </c>
      <c r="D15" s="11">
        <v>600</v>
      </c>
      <c r="E15" s="8" t="s">
        <v>32</v>
      </c>
      <c r="F15" s="8" t="s">
        <v>17</v>
      </c>
      <c r="G15" s="13" t="s">
        <v>60</v>
      </c>
      <c r="H15" s="13" t="s">
        <v>60</v>
      </c>
      <c r="I15" s="10" t="s">
        <v>66</v>
      </c>
    </row>
    <row r="16" spans="1:9" ht="29.4" thickBot="1" x14ac:dyDescent="0.35">
      <c r="A16" s="14">
        <v>14</v>
      </c>
      <c r="B16" s="16" t="s">
        <v>68</v>
      </c>
      <c r="C16" s="16" t="s">
        <v>13</v>
      </c>
      <c r="D16" s="16">
        <v>1100</v>
      </c>
      <c r="E16" s="15" t="s">
        <v>32</v>
      </c>
      <c r="F16" s="15" t="s">
        <v>54</v>
      </c>
      <c r="G16" s="15" t="s">
        <v>34</v>
      </c>
      <c r="H16" s="15" t="s">
        <v>69</v>
      </c>
      <c r="I16" s="17" t="s">
        <v>70</v>
      </c>
    </row>
  </sheetData>
  <mergeCells count="7">
    <mergeCell ref="G1:H1"/>
    <mergeCell ref="I1:I2"/>
    <mergeCell ref="A1:A2"/>
    <mergeCell ref="B1:B2"/>
    <mergeCell ref="C1:C2"/>
    <mergeCell ref="D1:D2"/>
    <mergeCell ref="F1: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15"/>
  <sheetViews>
    <sheetView topLeftCell="A4" workbookViewId="0">
      <selection activeCell="A12" sqref="A12"/>
    </sheetView>
  </sheetViews>
  <sheetFormatPr defaultRowHeight="14.4" x14ac:dyDescent="0.3"/>
  <cols>
    <col min="1" max="1" width="12.5" customWidth="1"/>
    <col min="4" max="9" width="0" hidden="1" customWidth="1"/>
    <col min="10" max="10" width="16.5" customWidth="1"/>
    <col min="11" max="11" width="18.296875" customWidth="1"/>
    <col min="12" max="12" width="14" customWidth="1"/>
    <col min="13" max="13" width="16.5" customWidth="1"/>
  </cols>
  <sheetData>
    <row r="1" spans="1:13" ht="14.55" customHeight="1" x14ac:dyDescent="0.3">
      <c r="A1" s="64" t="s">
        <v>76</v>
      </c>
      <c r="B1" s="64" t="s">
        <v>6</v>
      </c>
      <c r="C1" s="64" t="s">
        <v>23</v>
      </c>
      <c r="D1" s="68" t="s">
        <v>24</v>
      </c>
      <c r="E1" s="69"/>
      <c r="F1" s="69"/>
      <c r="G1" s="69"/>
      <c r="H1" s="69"/>
      <c r="I1" s="70"/>
      <c r="J1" s="64" t="s">
        <v>77</v>
      </c>
      <c r="K1" s="68" t="s">
        <v>26</v>
      </c>
      <c r="L1" s="70"/>
      <c r="M1" s="64" t="s">
        <v>11</v>
      </c>
    </row>
    <row r="2" spans="1:13" ht="57.6" x14ac:dyDescent="0.3">
      <c r="A2" s="65"/>
      <c r="B2" s="65"/>
      <c r="C2" s="65"/>
      <c r="D2" s="19" t="s">
        <v>78</v>
      </c>
      <c r="E2" s="19" t="s">
        <v>79</v>
      </c>
      <c r="F2" s="19" t="s">
        <v>80</v>
      </c>
      <c r="G2" s="19" t="s">
        <v>81</v>
      </c>
      <c r="H2" s="19" t="s">
        <v>82</v>
      </c>
      <c r="I2" s="19" t="s">
        <v>83</v>
      </c>
      <c r="J2" s="65"/>
      <c r="K2" s="19" t="s">
        <v>28</v>
      </c>
      <c r="L2" s="19" t="s">
        <v>29</v>
      </c>
      <c r="M2" s="65"/>
    </row>
    <row r="3" spans="1:13" ht="32.25" x14ac:dyDescent="0.3">
      <c r="A3" s="20" t="s">
        <v>84</v>
      </c>
      <c r="B3" s="21" t="s">
        <v>31</v>
      </c>
      <c r="C3" s="21">
        <v>4000</v>
      </c>
      <c r="D3" s="21" t="s">
        <v>85</v>
      </c>
      <c r="E3" s="21" t="s">
        <v>85</v>
      </c>
      <c r="F3" s="21" t="s">
        <v>85</v>
      </c>
      <c r="G3" s="21" t="s">
        <v>86</v>
      </c>
      <c r="H3" s="21" t="s">
        <v>85</v>
      </c>
      <c r="I3" s="21" t="s">
        <v>86</v>
      </c>
      <c r="J3" s="21" t="s">
        <v>33</v>
      </c>
      <c r="K3" s="21" t="s">
        <v>87</v>
      </c>
      <c r="L3" s="21" t="s">
        <v>88</v>
      </c>
      <c r="M3" s="21" t="s">
        <v>89</v>
      </c>
    </row>
    <row r="4" spans="1:13" ht="32.25" x14ac:dyDescent="0.3">
      <c r="A4" s="20" t="s">
        <v>90</v>
      </c>
      <c r="B4" s="21" t="s">
        <v>31</v>
      </c>
      <c r="C4" s="21">
        <v>4000</v>
      </c>
      <c r="D4" s="21" t="s">
        <v>85</v>
      </c>
      <c r="E4" s="21" t="s">
        <v>85</v>
      </c>
      <c r="F4" s="21" t="s">
        <v>85</v>
      </c>
      <c r="G4" s="21" t="s">
        <v>86</v>
      </c>
      <c r="H4" s="21" t="s">
        <v>85</v>
      </c>
      <c r="I4" s="21" t="s">
        <v>86</v>
      </c>
      <c r="J4" s="21" t="s">
        <v>33</v>
      </c>
      <c r="K4" s="21" t="s">
        <v>91</v>
      </c>
      <c r="L4" s="21" t="s">
        <v>88</v>
      </c>
      <c r="M4" s="21" t="s">
        <v>89</v>
      </c>
    </row>
    <row r="5" spans="1:13" ht="31" customHeight="1" x14ac:dyDescent="0.3">
      <c r="A5" s="66" t="s">
        <v>92</v>
      </c>
      <c r="B5" s="66" t="s">
        <v>93</v>
      </c>
      <c r="C5" s="66">
        <v>3000</v>
      </c>
      <c r="D5" s="66" t="s">
        <v>85</v>
      </c>
      <c r="E5" s="66" t="s">
        <v>85</v>
      </c>
      <c r="F5" s="66" t="s">
        <v>85</v>
      </c>
      <c r="G5" s="66" t="s">
        <v>86</v>
      </c>
      <c r="H5" s="66" t="s">
        <v>85</v>
      </c>
      <c r="I5" s="66" t="s">
        <v>86</v>
      </c>
      <c r="J5" s="66" t="s">
        <v>33</v>
      </c>
      <c r="K5" s="66" t="s">
        <v>94</v>
      </c>
      <c r="L5" s="66" t="s">
        <v>95</v>
      </c>
      <c r="M5" s="22" t="s">
        <v>96</v>
      </c>
    </row>
    <row r="6" spans="1:13" ht="32.25" x14ac:dyDescent="0.3">
      <c r="A6" s="67"/>
      <c r="B6" s="67"/>
      <c r="C6" s="67"/>
      <c r="D6" s="67"/>
      <c r="E6" s="67"/>
      <c r="F6" s="67"/>
      <c r="G6" s="67"/>
      <c r="H6" s="67"/>
      <c r="I6" s="67"/>
      <c r="J6" s="67"/>
      <c r="K6" s="67"/>
      <c r="L6" s="67"/>
      <c r="M6" s="21" t="s">
        <v>97</v>
      </c>
    </row>
    <row r="7" spans="1:13" ht="32.25" x14ac:dyDescent="0.3">
      <c r="A7" s="20" t="s">
        <v>98</v>
      </c>
      <c r="B7" s="21" t="s">
        <v>31</v>
      </c>
      <c r="C7" s="21">
        <v>1000</v>
      </c>
      <c r="D7" s="21" t="s">
        <v>85</v>
      </c>
      <c r="E7" s="21" t="s">
        <v>85</v>
      </c>
      <c r="F7" s="21" t="s">
        <v>85</v>
      </c>
      <c r="G7" s="21" t="s">
        <v>85</v>
      </c>
      <c r="H7" s="21" t="s">
        <v>86</v>
      </c>
      <c r="I7" s="21" t="s">
        <v>86</v>
      </c>
      <c r="J7" s="21" t="s">
        <v>33</v>
      </c>
      <c r="K7" s="21" t="s">
        <v>99</v>
      </c>
      <c r="L7" s="21" t="s">
        <v>100</v>
      </c>
      <c r="M7" s="21" t="s">
        <v>101</v>
      </c>
    </row>
    <row r="8" spans="1:13" ht="32.25" x14ac:dyDescent="0.3">
      <c r="A8" s="20" t="s">
        <v>102</v>
      </c>
      <c r="B8" s="21" t="s">
        <v>93</v>
      </c>
      <c r="C8" s="21">
        <v>1000</v>
      </c>
      <c r="D8" s="21" t="s">
        <v>85</v>
      </c>
      <c r="E8" s="21" t="s">
        <v>85</v>
      </c>
      <c r="F8" s="21" t="s">
        <v>85</v>
      </c>
      <c r="G8" s="21" t="s">
        <v>85</v>
      </c>
      <c r="H8" s="21" t="s">
        <v>85</v>
      </c>
      <c r="I8" s="21" t="s">
        <v>85</v>
      </c>
      <c r="J8" s="21" t="s">
        <v>54</v>
      </c>
      <c r="K8" s="21" t="s">
        <v>103</v>
      </c>
      <c r="L8" s="21" t="s">
        <v>104</v>
      </c>
      <c r="M8" s="21" t="s">
        <v>100</v>
      </c>
    </row>
    <row r="9" spans="1:13" ht="48.4" x14ac:dyDescent="0.3">
      <c r="A9" s="20" t="s">
        <v>105</v>
      </c>
      <c r="B9" s="21" t="s">
        <v>93</v>
      </c>
      <c r="C9" s="21">
        <v>6300</v>
      </c>
      <c r="D9" s="21" t="s">
        <v>85</v>
      </c>
      <c r="E9" s="21" t="s">
        <v>85</v>
      </c>
      <c r="F9" s="21" t="s">
        <v>85</v>
      </c>
      <c r="G9" s="21" t="s">
        <v>86</v>
      </c>
      <c r="H9" s="21" t="s">
        <v>106</v>
      </c>
      <c r="I9" s="21" t="s">
        <v>86</v>
      </c>
      <c r="J9" s="21" t="s">
        <v>54</v>
      </c>
      <c r="K9" s="21" t="s">
        <v>107</v>
      </c>
      <c r="L9" s="21" t="s">
        <v>108</v>
      </c>
      <c r="M9" s="21" t="s">
        <v>109</v>
      </c>
    </row>
    <row r="10" spans="1:13" ht="32.25" x14ac:dyDescent="0.3">
      <c r="A10" s="20" t="s">
        <v>110</v>
      </c>
      <c r="B10" s="21" t="s">
        <v>31</v>
      </c>
      <c r="C10" s="21">
        <v>1500</v>
      </c>
      <c r="D10" s="21" t="s">
        <v>85</v>
      </c>
      <c r="E10" s="21" t="s">
        <v>85</v>
      </c>
      <c r="F10" s="21" t="s">
        <v>85</v>
      </c>
      <c r="G10" s="21" t="s">
        <v>86</v>
      </c>
      <c r="H10" s="21" t="s">
        <v>85</v>
      </c>
      <c r="I10" s="21" t="s">
        <v>85</v>
      </c>
      <c r="J10" s="21" t="s">
        <v>33</v>
      </c>
      <c r="K10" s="21" t="s">
        <v>119</v>
      </c>
      <c r="L10" s="21" t="s">
        <v>100</v>
      </c>
      <c r="M10" s="21" t="s">
        <v>89</v>
      </c>
    </row>
    <row r="11" spans="1:13" ht="32.25" x14ac:dyDescent="0.3">
      <c r="A11" s="20" t="s">
        <v>111</v>
      </c>
      <c r="B11" s="21" t="s">
        <v>93</v>
      </c>
      <c r="C11" s="21">
        <v>5000</v>
      </c>
      <c r="D11" s="21" t="s">
        <v>85</v>
      </c>
      <c r="E11" s="21" t="s">
        <v>85</v>
      </c>
      <c r="F11" s="21" t="s">
        <v>85</v>
      </c>
      <c r="G11" s="21" t="s">
        <v>86</v>
      </c>
      <c r="H11" s="21" t="s">
        <v>85</v>
      </c>
      <c r="I11" s="21" t="s">
        <v>85</v>
      </c>
      <c r="J11" s="21" t="s">
        <v>33</v>
      </c>
      <c r="K11" s="21" t="s">
        <v>112</v>
      </c>
      <c r="L11" s="21" t="s">
        <v>88</v>
      </c>
      <c r="M11" s="21" t="s">
        <v>100</v>
      </c>
    </row>
    <row r="12" spans="1:13" ht="48.4" x14ac:dyDescent="0.3">
      <c r="A12" s="20" t="s">
        <v>113</v>
      </c>
      <c r="B12" s="21" t="s">
        <v>31</v>
      </c>
      <c r="C12" s="21">
        <v>2000</v>
      </c>
      <c r="D12" s="21" t="s">
        <v>85</v>
      </c>
      <c r="E12" s="21" t="s">
        <v>85</v>
      </c>
      <c r="F12" s="21" t="s">
        <v>85</v>
      </c>
      <c r="G12" s="21" t="s">
        <v>86</v>
      </c>
      <c r="H12" s="21" t="s">
        <v>85</v>
      </c>
      <c r="I12" s="21" t="s">
        <v>85</v>
      </c>
      <c r="J12" s="21" t="s">
        <v>33</v>
      </c>
      <c r="K12" s="21" t="s">
        <v>130</v>
      </c>
      <c r="L12" s="21" t="s">
        <v>88</v>
      </c>
      <c r="M12" s="21" t="s">
        <v>114</v>
      </c>
    </row>
    <row r="13" spans="1:13" ht="32.25" x14ac:dyDescent="0.3">
      <c r="A13" s="20" t="s">
        <v>115</v>
      </c>
      <c r="B13" s="21" t="s">
        <v>93</v>
      </c>
      <c r="C13" s="21">
        <v>4000</v>
      </c>
      <c r="D13" s="21" t="s">
        <v>85</v>
      </c>
      <c r="E13" s="21" t="s">
        <v>85</v>
      </c>
      <c r="F13" s="21" t="s">
        <v>85</v>
      </c>
      <c r="G13" s="21" t="s">
        <v>86</v>
      </c>
      <c r="H13" s="21" t="s">
        <v>86</v>
      </c>
      <c r="I13" s="21" t="s">
        <v>86</v>
      </c>
      <c r="J13" s="21" t="s">
        <v>33</v>
      </c>
      <c r="K13" s="21" t="s">
        <v>94</v>
      </c>
      <c r="L13" s="21" t="s">
        <v>120</v>
      </c>
      <c r="M13" s="21" t="s">
        <v>117</v>
      </c>
    </row>
    <row r="14" spans="1:13" ht="32.25" x14ac:dyDescent="0.3">
      <c r="A14" s="20" t="s">
        <v>118</v>
      </c>
      <c r="B14" s="21" t="s">
        <v>93</v>
      </c>
      <c r="C14" s="21">
        <v>630</v>
      </c>
      <c r="D14" s="21" t="s">
        <v>85</v>
      </c>
      <c r="E14" s="21" t="s">
        <v>85</v>
      </c>
      <c r="F14" s="21" t="s">
        <v>85</v>
      </c>
      <c r="G14" s="21" t="s">
        <v>85</v>
      </c>
      <c r="H14" s="21" t="s">
        <v>86</v>
      </c>
      <c r="I14" s="21" t="s">
        <v>86</v>
      </c>
      <c r="J14" s="21" t="s">
        <v>54</v>
      </c>
      <c r="K14" s="21" t="s">
        <v>116</v>
      </c>
      <c r="L14" s="21" t="s">
        <v>100</v>
      </c>
      <c r="M14" s="21" t="s">
        <v>100</v>
      </c>
    </row>
    <row r="15" spans="1:13" ht="15.55" x14ac:dyDescent="0.3">
      <c r="A15" s="23"/>
    </row>
  </sheetData>
  <mergeCells count="19">
    <mergeCell ref="J5:J6"/>
    <mergeCell ref="K5:K6"/>
    <mergeCell ref="L5:L6"/>
    <mergeCell ref="M1:M2"/>
    <mergeCell ref="A5:A6"/>
    <mergeCell ref="B5:B6"/>
    <mergeCell ref="C5:C6"/>
    <mergeCell ref="D5:D6"/>
    <mergeCell ref="E5:E6"/>
    <mergeCell ref="F5:F6"/>
    <mergeCell ref="G5:G6"/>
    <mergeCell ref="H5:H6"/>
    <mergeCell ref="I5:I6"/>
    <mergeCell ref="A1:A2"/>
    <mergeCell ref="B1:B2"/>
    <mergeCell ref="C1:C2"/>
    <mergeCell ref="D1:I1"/>
    <mergeCell ref="J1:J2"/>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
  <sheetViews>
    <sheetView tabSelected="1" workbookViewId="0">
      <selection activeCell="F10" sqref="F10"/>
    </sheetView>
  </sheetViews>
  <sheetFormatPr defaultRowHeight="14.4" x14ac:dyDescent="0.3"/>
  <cols>
    <col min="2" max="2" width="41.69921875" bestFit="1" customWidth="1"/>
    <col min="3" max="3" width="9.3984375" bestFit="1" customWidth="1"/>
    <col min="5" max="5" width="19.296875" customWidth="1"/>
    <col min="6" max="6" width="12.69921875" bestFit="1" customWidth="1"/>
    <col min="7" max="7" width="14.296875" bestFit="1" customWidth="1"/>
    <col min="8" max="8" width="11.59765625" customWidth="1"/>
    <col min="9" max="9" width="13" bestFit="1" customWidth="1"/>
  </cols>
  <sheetData>
    <row r="1" spans="1:9" ht="15" thickBot="1" x14ac:dyDescent="0.35">
      <c r="A1" s="71" t="s">
        <v>21</v>
      </c>
      <c r="B1" s="72" t="s">
        <v>338</v>
      </c>
      <c r="E1" s="73" t="s">
        <v>27</v>
      </c>
      <c r="F1" s="74" t="s">
        <v>339</v>
      </c>
      <c r="G1" s="74" t="s">
        <v>126</v>
      </c>
      <c r="H1" s="74" t="s">
        <v>133</v>
      </c>
      <c r="I1" s="75" t="s">
        <v>340</v>
      </c>
    </row>
    <row r="2" spans="1:9" ht="43.2" x14ac:dyDescent="0.3">
      <c r="A2" s="76">
        <v>1</v>
      </c>
      <c r="B2" s="77" t="s">
        <v>341</v>
      </c>
      <c r="E2" s="78" t="s">
        <v>79</v>
      </c>
      <c r="F2" s="79">
        <v>30</v>
      </c>
      <c r="G2" s="79">
        <v>35</v>
      </c>
      <c r="H2" s="79">
        <v>0.95</v>
      </c>
      <c r="I2" s="80">
        <v>1000</v>
      </c>
    </row>
    <row r="3" spans="1:9" x14ac:dyDescent="0.3">
      <c r="A3" s="81">
        <v>2</v>
      </c>
      <c r="B3" s="82" t="s">
        <v>342</v>
      </c>
      <c r="E3" s="81" t="s">
        <v>343</v>
      </c>
      <c r="F3" s="83">
        <v>15</v>
      </c>
      <c r="G3" s="83">
        <v>25</v>
      </c>
      <c r="H3" s="83">
        <v>0.95</v>
      </c>
      <c r="I3" s="84">
        <v>1000</v>
      </c>
    </row>
    <row r="4" spans="1:9" ht="15" thickBot="1" x14ac:dyDescent="0.35">
      <c r="A4" s="81">
        <v>3</v>
      </c>
      <c r="B4" s="82" t="s">
        <v>344</v>
      </c>
      <c r="E4" s="85" t="s">
        <v>345</v>
      </c>
      <c r="F4" s="36">
        <v>0</v>
      </c>
      <c r="G4" s="36">
        <v>4</v>
      </c>
      <c r="H4" s="36">
        <v>0.95</v>
      </c>
      <c r="I4" s="37">
        <v>1000</v>
      </c>
    </row>
    <row r="5" spans="1:9" x14ac:dyDescent="0.3">
      <c r="A5" s="81">
        <v>4</v>
      </c>
      <c r="B5" s="82" t="s">
        <v>346</v>
      </c>
    </row>
    <row r="6" spans="1:9" x14ac:dyDescent="0.3">
      <c r="A6" s="81">
        <v>5</v>
      </c>
      <c r="B6" s="82" t="s">
        <v>347</v>
      </c>
    </row>
    <row r="7" spans="1:9" x14ac:dyDescent="0.3">
      <c r="A7" s="81">
        <v>6</v>
      </c>
      <c r="B7" s="82" t="s">
        <v>348</v>
      </c>
    </row>
    <row r="8" spans="1:9" ht="15" thickBot="1" x14ac:dyDescent="0.35">
      <c r="A8" s="86">
        <v>7</v>
      </c>
      <c r="B8" s="87" t="str">
        <f>IF(F12-F11&lt;4," "," delta_T&gt;4, Either decrease vapor rate or increase mass rate of brine or increase Outlet temperature")</f>
        <v xml:space="preserve"> </v>
      </c>
    </row>
    <row r="9" spans="1:9" x14ac:dyDescent="0.3">
      <c r="A9" t="s">
        <v>349</v>
      </c>
    </row>
    <row r="10" spans="1:9" x14ac:dyDescent="0.3">
      <c r="B10" s="88" t="s">
        <v>350</v>
      </c>
      <c r="C10" s="89" t="s">
        <v>75</v>
      </c>
      <c r="E10" s="4" t="s">
        <v>27</v>
      </c>
      <c r="F10" s="4" t="s">
        <v>79</v>
      </c>
    </row>
    <row r="11" spans="1:9" x14ac:dyDescent="0.3">
      <c r="B11" s="4" t="s">
        <v>121</v>
      </c>
      <c r="C11" s="48">
        <f>VLOOKUP($C$10,Data!$A$2:$E$27,3,TRUE)</f>
        <v>117.7</v>
      </c>
      <c r="E11" s="4" t="s">
        <v>125</v>
      </c>
      <c r="F11" s="48">
        <f>VLOOKUP(F10,E1:I4,2,0)</f>
        <v>30</v>
      </c>
    </row>
    <row r="12" spans="1:9" x14ac:dyDescent="0.3">
      <c r="B12" s="4" t="s">
        <v>122</v>
      </c>
      <c r="C12" s="48">
        <f>VLOOKUP($C$10,Data!$A$2:$E$27,2,TRUE)</f>
        <v>142</v>
      </c>
      <c r="E12" s="4" t="s">
        <v>126</v>
      </c>
      <c r="F12" s="50">
        <f>C19/(F16*F17)+F11</f>
        <v>33.761949176941897</v>
      </c>
    </row>
    <row r="13" spans="1:9" x14ac:dyDescent="0.3">
      <c r="B13" s="4" t="s">
        <v>124</v>
      </c>
      <c r="C13" s="48">
        <f>VLOOKUP($C$10,Data!$A$2:$E$27,5,TRUE)</f>
        <v>0.81</v>
      </c>
      <c r="E13" s="4" t="s">
        <v>337</v>
      </c>
      <c r="F13" s="48">
        <v>2</v>
      </c>
    </row>
    <row r="14" spans="1:9" x14ac:dyDescent="0.3">
      <c r="B14" s="4" t="s">
        <v>134</v>
      </c>
      <c r="C14" s="48">
        <f>VLOOKUP(C10,Data!A2:E27,4,0)</f>
        <v>0.59</v>
      </c>
      <c r="E14" s="52" t="s">
        <v>334</v>
      </c>
      <c r="F14" s="48">
        <v>1</v>
      </c>
    </row>
    <row r="15" spans="1:9" x14ac:dyDescent="0.3">
      <c r="B15" s="4" t="s">
        <v>123</v>
      </c>
      <c r="C15" s="48">
        <v>1600</v>
      </c>
      <c r="E15" s="90" t="s">
        <v>351</v>
      </c>
      <c r="F15" s="91">
        <v>1000</v>
      </c>
      <c r="G15" s="35"/>
    </row>
    <row r="16" spans="1:9" x14ac:dyDescent="0.3">
      <c r="B16" s="4" t="s">
        <v>128</v>
      </c>
      <c r="C16" s="48">
        <v>170</v>
      </c>
      <c r="E16" s="4" t="s">
        <v>307</v>
      </c>
      <c r="F16" s="50">
        <f>F15*3.141/4*(F13*2.51*F13*2.51)*F14*3600*0.0001</f>
        <v>7123.9010759999983</v>
      </c>
    </row>
    <row r="17" spans="2:6" x14ac:dyDescent="0.3">
      <c r="B17" s="4" t="s">
        <v>132</v>
      </c>
      <c r="C17" s="48">
        <v>45</v>
      </c>
      <c r="E17" s="4" t="s">
        <v>133</v>
      </c>
      <c r="F17" s="48">
        <v>0.95</v>
      </c>
    </row>
    <row r="18" spans="2:6" x14ac:dyDescent="0.3">
      <c r="B18" s="4" t="s">
        <v>129</v>
      </c>
      <c r="C18" s="48">
        <v>100</v>
      </c>
      <c r="E18" s="4" t="s">
        <v>306</v>
      </c>
      <c r="F18" s="50">
        <f>(C11-F12)</f>
        <v>83.938050823058106</v>
      </c>
    </row>
    <row r="19" spans="2:6" x14ac:dyDescent="0.3">
      <c r="B19" s="4" t="s">
        <v>135</v>
      </c>
      <c r="C19" s="4">
        <f>C16*C13*(C12+C14*(C11-C17))</f>
        <v>25459.766100000004</v>
      </c>
      <c r="E19" s="4" t="s">
        <v>308</v>
      </c>
      <c r="F19" s="4">
        <f>(C17-F11)</f>
        <v>15</v>
      </c>
    </row>
    <row r="20" spans="2:6" x14ac:dyDescent="0.3">
      <c r="B20" s="4" t="s">
        <v>127</v>
      </c>
      <c r="C20" s="49">
        <f>C15/C16</f>
        <v>9.4117647058823533</v>
      </c>
      <c r="E20" s="51" t="s">
        <v>131</v>
      </c>
      <c r="F20" s="50">
        <f>(F18-F19)/LN(F18/F19)</f>
        <v>40.03304091284479</v>
      </c>
    </row>
    <row r="23" spans="2:6" x14ac:dyDescent="0.3">
      <c r="B23" s="53" t="s">
        <v>335</v>
      </c>
      <c r="C23" s="92">
        <f>C19/(C18*F20*0.6)</f>
        <v>10.599480462246175</v>
      </c>
    </row>
    <row r="24" spans="2:6" x14ac:dyDescent="0.3">
      <c r="B24" s="53" t="s">
        <v>336</v>
      </c>
      <c r="C24" s="54">
        <f>C19/3024/0.85</f>
        <v>9.9049821428571452</v>
      </c>
    </row>
  </sheetData>
  <conditionalFormatting sqref="F12">
    <cfRule type="expression" dxfId="0" priority="1">
      <formula>F12-F11&gt;5</formula>
    </cfRule>
  </conditionalFormatting>
  <dataValidations count="1">
    <dataValidation type="list" allowBlank="1" showInputMessage="1" showErrorMessage="1" sqref="F10">
      <formula1>$E$2:$E$4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activeCell="L5" sqref="L5"/>
    </sheetView>
  </sheetViews>
  <sheetFormatPr defaultRowHeight="14.4" x14ac:dyDescent="0.3"/>
  <cols>
    <col min="1" max="1" width="16.796875" bestFit="1" customWidth="1"/>
    <col min="7" max="7" width="11.796875" bestFit="1" customWidth="1"/>
    <col min="8" max="8" width="10.796875" customWidth="1"/>
    <col min="9" max="9" width="11.19921875" customWidth="1"/>
    <col min="10" max="10" width="11.59765625" customWidth="1"/>
    <col min="11" max="11" width="13" bestFit="1" customWidth="1"/>
  </cols>
  <sheetData>
    <row r="1" spans="1:11" ht="16.7" thickBot="1" x14ac:dyDescent="0.35">
      <c r="A1" s="93" t="s">
        <v>310</v>
      </c>
      <c r="B1" s="94">
        <v>0.8</v>
      </c>
      <c r="C1" s="95"/>
      <c r="D1" s="95"/>
      <c r="E1" s="95"/>
    </row>
    <row r="2" spans="1:11" ht="32.85" thickBot="1" x14ac:dyDescent="0.35">
      <c r="A2" s="96" t="s">
        <v>311</v>
      </c>
      <c r="B2" s="97" t="s">
        <v>312</v>
      </c>
      <c r="C2" s="97" t="s">
        <v>313</v>
      </c>
      <c r="D2" s="97" t="s">
        <v>134</v>
      </c>
      <c r="E2" s="98" t="s">
        <v>314</v>
      </c>
    </row>
    <row r="3" spans="1:11" ht="16.149999999999999" x14ac:dyDescent="0.3">
      <c r="A3" s="99" t="s">
        <v>74</v>
      </c>
      <c r="B3" s="100">
        <v>96.034400382226465</v>
      </c>
      <c r="C3" s="101">
        <v>118</v>
      </c>
      <c r="D3" s="102">
        <v>0.49</v>
      </c>
      <c r="E3" s="103">
        <v>1.05</v>
      </c>
      <c r="G3" s="104"/>
      <c r="H3" s="105"/>
      <c r="I3" s="105"/>
      <c r="J3" s="105"/>
      <c r="K3" s="105"/>
    </row>
    <row r="4" spans="1:11" ht="16.149999999999999" x14ac:dyDescent="0.3">
      <c r="A4" s="106" t="s">
        <v>315</v>
      </c>
      <c r="B4" s="38">
        <v>123.74581939799332</v>
      </c>
      <c r="C4" s="39">
        <v>56.2</v>
      </c>
      <c r="D4" s="40">
        <v>0.51</v>
      </c>
      <c r="E4" s="107">
        <v>0.78400000000000003</v>
      </c>
      <c r="G4" s="104"/>
      <c r="H4" s="105"/>
      <c r="I4" s="105"/>
      <c r="J4" s="105"/>
      <c r="K4" s="105"/>
    </row>
    <row r="5" spans="1:11" ht="16.149999999999999" x14ac:dyDescent="0.3">
      <c r="A5" s="108" t="s">
        <v>316</v>
      </c>
      <c r="B5" s="41">
        <v>174</v>
      </c>
      <c r="C5" s="42">
        <v>81.599999999999994</v>
      </c>
      <c r="D5" s="43">
        <v>0.53400000000000003</v>
      </c>
      <c r="E5" s="109">
        <v>0.78700000000000003</v>
      </c>
      <c r="G5" s="104"/>
      <c r="H5" s="105"/>
      <c r="I5" s="105"/>
      <c r="J5" s="105"/>
      <c r="K5" s="105"/>
    </row>
    <row r="6" spans="1:11" ht="16.149999999999999" x14ac:dyDescent="0.3">
      <c r="A6" s="106" t="s">
        <v>317</v>
      </c>
      <c r="B6" s="38">
        <v>107.5011944577162</v>
      </c>
      <c r="C6" s="39">
        <v>184.3</v>
      </c>
      <c r="D6" s="40">
        <v>0.51400000000000001</v>
      </c>
      <c r="E6" s="107">
        <v>1.02</v>
      </c>
      <c r="G6" s="104"/>
      <c r="H6" s="105"/>
      <c r="I6" s="105"/>
      <c r="J6" s="105"/>
      <c r="K6" s="105"/>
    </row>
    <row r="7" spans="1:11" ht="16.149999999999999" x14ac:dyDescent="0.3">
      <c r="A7" s="106" t="s">
        <v>309</v>
      </c>
      <c r="B7" s="38">
        <v>93.16770186335404</v>
      </c>
      <c r="C7" s="39">
        <v>80.099999999999994</v>
      </c>
      <c r="D7" s="40">
        <v>0.43</v>
      </c>
      <c r="E7" s="107">
        <v>0.876</v>
      </c>
    </row>
    <row r="8" spans="1:11" ht="16.149999999999999" x14ac:dyDescent="0.3">
      <c r="A8" s="106" t="s">
        <v>75</v>
      </c>
      <c r="B8" s="38">
        <v>142</v>
      </c>
      <c r="C8" s="39">
        <v>117.7</v>
      </c>
      <c r="D8" s="40">
        <v>0.59</v>
      </c>
      <c r="E8" s="107">
        <v>0.81</v>
      </c>
    </row>
    <row r="9" spans="1:11" ht="16.149999999999999" x14ac:dyDescent="0.3">
      <c r="A9" s="106" t="s">
        <v>318</v>
      </c>
      <c r="B9" s="38">
        <v>59.006211180124225</v>
      </c>
      <c r="C9" s="39">
        <v>61.2</v>
      </c>
      <c r="D9" s="40">
        <v>0.251</v>
      </c>
      <c r="E9" s="107">
        <v>1.49</v>
      </c>
    </row>
    <row r="10" spans="1:11" ht="16.149999999999999" x14ac:dyDescent="0.3">
      <c r="A10" s="106" t="s">
        <v>319</v>
      </c>
      <c r="B10" s="38">
        <v>94</v>
      </c>
      <c r="C10" s="39">
        <v>80.739999999999995</v>
      </c>
      <c r="D10" s="40">
        <v>0.52500000000000002</v>
      </c>
      <c r="E10" s="107">
        <v>0.77400000000000002</v>
      </c>
    </row>
    <row r="11" spans="1:11" ht="16.149999999999999" x14ac:dyDescent="0.3">
      <c r="A11" s="106" t="s">
        <v>320</v>
      </c>
      <c r="B11" s="38">
        <v>138</v>
      </c>
      <c r="C11" s="39">
        <v>153</v>
      </c>
      <c r="D11" s="40">
        <v>0.49</v>
      </c>
      <c r="E11" s="107">
        <v>0.94899999999999995</v>
      </c>
    </row>
    <row r="12" spans="1:11" ht="16.149999999999999" x14ac:dyDescent="0.3">
      <c r="A12" s="110" t="s">
        <v>321</v>
      </c>
      <c r="B12" s="44">
        <v>76.400000000000006</v>
      </c>
      <c r="C12" s="45">
        <v>83</v>
      </c>
      <c r="D12" s="44">
        <v>0.31</v>
      </c>
      <c r="E12" s="109">
        <v>1.25</v>
      </c>
    </row>
    <row r="13" spans="1:11" ht="16.149999999999999" x14ac:dyDescent="0.3">
      <c r="A13" s="108" t="s">
        <v>322</v>
      </c>
      <c r="B13" s="41">
        <v>82</v>
      </c>
      <c r="C13" s="42">
        <v>77.099999999999994</v>
      </c>
      <c r="D13" s="43">
        <v>0.46</v>
      </c>
      <c r="E13" s="109">
        <v>0.90200000000000002</v>
      </c>
    </row>
    <row r="14" spans="1:11" ht="16.149999999999999" x14ac:dyDescent="0.3">
      <c r="A14" s="106" t="s">
        <v>323</v>
      </c>
      <c r="B14" s="38">
        <v>202.10224558050646</v>
      </c>
      <c r="C14" s="39">
        <v>78.5</v>
      </c>
      <c r="D14" s="40">
        <v>0.65</v>
      </c>
      <c r="E14" s="107">
        <v>0.78900000000000003</v>
      </c>
    </row>
    <row r="15" spans="1:11" ht="16.149999999999999" x14ac:dyDescent="0.3">
      <c r="A15" s="106" t="s">
        <v>324</v>
      </c>
      <c r="B15" s="38">
        <v>75.967510750119445</v>
      </c>
      <c r="C15" s="39">
        <v>98</v>
      </c>
      <c r="D15" s="40">
        <v>0.53500000000000003</v>
      </c>
      <c r="E15" s="107">
        <v>0.68400000000000005</v>
      </c>
    </row>
    <row r="16" spans="1:11" ht="16.149999999999999" x14ac:dyDescent="0.3">
      <c r="A16" s="106" t="s">
        <v>325</v>
      </c>
      <c r="B16" s="38">
        <v>87.195413282369799</v>
      </c>
      <c r="C16" s="39">
        <v>69</v>
      </c>
      <c r="D16" s="40">
        <v>0.54</v>
      </c>
      <c r="E16" s="107">
        <v>0.65500000000000003</v>
      </c>
    </row>
    <row r="17" spans="1:5" ht="16.149999999999999" x14ac:dyDescent="0.3">
      <c r="A17" s="106" t="s">
        <v>72</v>
      </c>
      <c r="B17" s="38">
        <v>175.17916865742953</v>
      </c>
      <c r="C17" s="39">
        <v>82.6</v>
      </c>
      <c r="D17" s="40">
        <v>0.64</v>
      </c>
      <c r="E17" s="107">
        <v>0.78600000000000003</v>
      </c>
    </row>
    <row r="18" spans="1:5" ht="16.149999999999999" x14ac:dyDescent="0.3">
      <c r="A18" s="110" t="s">
        <v>326</v>
      </c>
      <c r="B18" s="46">
        <f>199/4.186</f>
        <v>47.539417104634495</v>
      </c>
      <c r="C18" s="44">
        <v>-195</v>
      </c>
      <c r="D18" s="44">
        <v>1.08</v>
      </c>
      <c r="E18" s="109">
        <v>0.80640000000000001</v>
      </c>
    </row>
    <row r="19" spans="1:5" ht="16.149999999999999" x14ac:dyDescent="0.3">
      <c r="A19" s="108" t="s">
        <v>327</v>
      </c>
      <c r="B19" s="41">
        <v>79</v>
      </c>
      <c r="C19" s="42">
        <v>39.6</v>
      </c>
      <c r="D19" s="47">
        <v>0.28000000000000003</v>
      </c>
      <c r="E19" s="109">
        <v>1.32</v>
      </c>
    </row>
    <row r="20" spans="1:5" ht="16.149999999999999" x14ac:dyDescent="0.3">
      <c r="A20" s="106" t="s">
        <v>73</v>
      </c>
      <c r="B20" s="38">
        <v>262.78069756330626</v>
      </c>
      <c r="C20" s="39">
        <v>64.599999999999994</v>
      </c>
      <c r="D20" s="40">
        <v>0.6</v>
      </c>
      <c r="E20" s="107">
        <v>0.79200000000000004</v>
      </c>
    </row>
    <row r="21" spans="1:5" ht="16.149999999999999" x14ac:dyDescent="0.3">
      <c r="A21" s="110" t="s">
        <v>328</v>
      </c>
      <c r="B21" s="44">
        <v>135</v>
      </c>
      <c r="C21" s="45">
        <v>44</v>
      </c>
      <c r="D21" s="44">
        <v>1.1000000000000001</v>
      </c>
      <c r="E21" s="109">
        <v>0.90200000000000002</v>
      </c>
    </row>
    <row r="22" spans="1:5" ht="16.149999999999999" x14ac:dyDescent="0.3">
      <c r="A22" s="106" t="s">
        <v>329</v>
      </c>
      <c r="B22" s="38">
        <v>186.09651218346872</v>
      </c>
      <c r="C22" s="39">
        <v>97</v>
      </c>
      <c r="D22" s="40">
        <v>0.56999999999999995</v>
      </c>
      <c r="E22" s="107">
        <v>0.80300000000000005</v>
      </c>
    </row>
    <row r="23" spans="1:5" ht="16.149999999999999" x14ac:dyDescent="0.3">
      <c r="A23" s="106" t="s">
        <v>330</v>
      </c>
      <c r="B23" s="38">
        <v>92.8</v>
      </c>
      <c r="C23" s="39">
        <v>43</v>
      </c>
      <c r="D23" s="40">
        <v>0.62</v>
      </c>
      <c r="E23" s="107">
        <v>0.69599999999999995</v>
      </c>
    </row>
    <row r="24" spans="1:5" ht="16.149999999999999" x14ac:dyDescent="0.3">
      <c r="A24" s="106" t="s">
        <v>331</v>
      </c>
      <c r="B24" s="38"/>
      <c r="C24" s="39"/>
      <c r="D24" s="40"/>
      <c r="E24" s="107">
        <v>1.2</v>
      </c>
    </row>
    <row r="25" spans="1:5" ht="16.149999999999999" x14ac:dyDescent="0.3">
      <c r="A25" s="110" t="s">
        <v>332</v>
      </c>
      <c r="B25" s="44">
        <v>98</v>
      </c>
      <c r="C25" s="45">
        <v>66</v>
      </c>
      <c r="D25" s="44">
        <v>1.1000000000000001</v>
      </c>
      <c r="E25" s="109">
        <v>0.88900000000000001</v>
      </c>
    </row>
    <row r="26" spans="1:5" ht="16.149999999999999" x14ac:dyDescent="0.3">
      <c r="A26" s="106" t="s">
        <v>71</v>
      </c>
      <c r="B26" s="38">
        <v>83.850931677018636</v>
      </c>
      <c r="C26" s="39">
        <v>110.6</v>
      </c>
      <c r="D26" s="40">
        <v>0.41</v>
      </c>
      <c r="E26" s="107">
        <v>0.86699999999999999</v>
      </c>
    </row>
    <row r="27" spans="1:5" ht="16.7" thickBot="1" x14ac:dyDescent="0.35">
      <c r="A27" s="111" t="s">
        <v>333</v>
      </c>
      <c r="B27" s="112">
        <v>539.17821309125657</v>
      </c>
      <c r="C27" s="113">
        <v>100</v>
      </c>
      <c r="D27" s="114">
        <v>1</v>
      </c>
      <c r="E27" s="11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331"/>
  <sheetViews>
    <sheetView topLeftCell="A132" workbookViewId="0">
      <selection activeCell="C6" sqref="C6"/>
    </sheetView>
  </sheetViews>
  <sheetFormatPr defaultRowHeight="14.4" x14ac:dyDescent="0.3"/>
  <sheetData>
    <row r="1" spans="1:1" x14ac:dyDescent="0.3">
      <c r="A1" t="s">
        <v>305</v>
      </c>
    </row>
    <row r="2" spans="1:1" x14ac:dyDescent="0.3">
      <c r="A2" t="s">
        <v>136</v>
      </c>
    </row>
    <row r="3" spans="1:1" x14ac:dyDescent="0.3">
      <c r="A3" s="25"/>
    </row>
    <row r="4" spans="1:1" x14ac:dyDescent="0.3">
      <c r="A4" t="s">
        <v>137</v>
      </c>
    </row>
    <row r="5" spans="1:1" x14ac:dyDescent="0.3">
      <c r="A5" s="25" t="s">
        <v>138</v>
      </c>
    </row>
    <row r="6" spans="1:1" x14ac:dyDescent="0.3">
      <c r="A6" t="s">
        <v>139</v>
      </c>
    </row>
    <row r="7" spans="1:1" x14ac:dyDescent="0.3">
      <c r="A7" s="25"/>
    </row>
    <row r="8" spans="1:1" x14ac:dyDescent="0.3">
      <c r="A8" t="s">
        <v>140</v>
      </c>
    </row>
    <row r="9" spans="1:1" x14ac:dyDescent="0.3">
      <c r="A9" s="25" t="s">
        <v>141</v>
      </c>
    </row>
    <row r="10" spans="1:1" x14ac:dyDescent="0.3">
      <c r="A10" t="s">
        <v>142</v>
      </c>
    </row>
    <row r="11" spans="1:1" x14ac:dyDescent="0.3">
      <c r="A11" t="s">
        <v>143</v>
      </c>
    </row>
    <row r="12" spans="1:1" x14ac:dyDescent="0.3">
      <c r="A12" s="25"/>
    </row>
    <row r="13" spans="1:1" x14ac:dyDescent="0.3">
      <c r="A13" t="s">
        <v>137</v>
      </c>
    </row>
    <row r="14" spans="1:1" x14ac:dyDescent="0.3">
      <c r="A14" s="25" t="s">
        <v>138</v>
      </c>
    </row>
    <row r="15" spans="1:1" x14ac:dyDescent="0.3">
      <c r="A15" t="s">
        <v>144</v>
      </c>
    </row>
    <row r="16" spans="1:1" x14ac:dyDescent="0.3">
      <c r="A16" s="26"/>
    </row>
    <row r="17" spans="1:1" x14ac:dyDescent="0.3">
      <c r="A17" s="27" t="s">
        <v>145</v>
      </c>
    </row>
    <row r="18" spans="1:1" x14ac:dyDescent="0.3">
      <c r="A18" s="26" t="s">
        <v>146</v>
      </c>
    </row>
    <row r="19" spans="1:1" x14ac:dyDescent="0.3">
      <c r="A19" s="28"/>
    </row>
    <row r="20" spans="1:1" x14ac:dyDescent="0.3">
      <c r="A20" s="28" t="s">
        <v>147</v>
      </c>
    </row>
    <row r="21" spans="1:1" x14ac:dyDescent="0.3">
      <c r="A21" s="29"/>
    </row>
    <row r="22" spans="1:1" x14ac:dyDescent="0.3">
      <c r="A22" t="s">
        <v>148</v>
      </c>
    </row>
    <row r="23" spans="1:1" x14ac:dyDescent="0.3">
      <c r="A23" s="29" t="s">
        <v>149</v>
      </c>
    </row>
    <row r="24" spans="1:1" x14ac:dyDescent="0.3">
      <c r="A24" s="28" t="s">
        <v>150</v>
      </c>
    </row>
    <row r="25" spans="1:1" x14ac:dyDescent="0.3">
      <c r="A25" s="28" t="s">
        <v>151</v>
      </c>
    </row>
    <row r="26" spans="1:1" x14ac:dyDescent="0.3">
      <c r="A26" s="29"/>
    </row>
    <row r="27" spans="1:1" x14ac:dyDescent="0.3">
      <c r="A27" t="s">
        <v>152</v>
      </c>
    </row>
    <row r="28" spans="1:1" x14ac:dyDescent="0.3">
      <c r="A28" s="29" t="s">
        <v>153</v>
      </c>
    </row>
    <row r="29" spans="1:1" x14ac:dyDescent="0.3">
      <c r="A29" s="28" t="s">
        <v>154</v>
      </c>
    </row>
    <row r="30" spans="1:1" x14ac:dyDescent="0.3">
      <c r="A30" s="29"/>
    </row>
    <row r="31" spans="1:1" x14ac:dyDescent="0.3">
      <c r="A31" t="s">
        <v>155</v>
      </c>
    </row>
    <row r="32" spans="1:1" x14ac:dyDescent="0.3">
      <c r="A32" s="29" t="s">
        <v>156</v>
      </c>
    </row>
    <row r="33" spans="1:1" x14ac:dyDescent="0.3">
      <c r="A33" s="28" t="s">
        <v>157</v>
      </c>
    </row>
    <row r="34" spans="1:1" x14ac:dyDescent="0.3">
      <c r="A34" s="26" t="s">
        <v>158</v>
      </c>
    </row>
    <row r="35" spans="1:1" x14ac:dyDescent="0.3">
      <c r="A35" s="30"/>
    </row>
    <row r="36" spans="1:1" x14ac:dyDescent="0.3">
      <c r="A36" t="s">
        <v>159</v>
      </c>
    </row>
    <row r="37" spans="1:1" x14ac:dyDescent="0.3">
      <c r="A37" s="30" t="s">
        <v>160</v>
      </c>
    </row>
    <row r="38" spans="1:1" x14ac:dyDescent="0.3">
      <c r="A38" s="26" t="s">
        <v>161</v>
      </c>
    </row>
    <row r="39" spans="1:1" x14ac:dyDescent="0.3">
      <c r="A39" s="30"/>
    </row>
    <row r="40" spans="1:1" x14ac:dyDescent="0.3">
      <c r="A40" t="s">
        <v>162</v>
      </c>
    </row>
    <row r="41" spans="1:1" x14ac:dyDescent="0.3">
      <c r="A41" s="30" t="s">
        <v>163</v>
      </c>
    </row>
    <row r="42" spans="1:1" x14ac:dyDescent="0.3">
      <c r="A42" s="26" t="s">
        <v>164</v>
      </c>
    </row>
    <row r="43" spans="1:1" x14ac:dyDescent="0.3">
      <c r="A43" s="30"/>
    </row>
    <row r="44" spans="1:1" x14ac:dyDescent="0.3">
      <c r="A44" t="s">
        <v>165</v>
      </c>
    </row>
    <row r="45" spans="1:1" x14ac:dyDescent="0.3">
      <c r="A45" s="30" t="s">
        <v>166</v>
      </c>
    </row>
    <row r="46" spans="1:1" x14ac:dyDescent="0.3">
      <c r="A46" s="26" t="s">
        <v>167</v>
      </c>
    </row>
    <row r="47" spans="1:1" x14ac:dyDescent="0.3">
      <c r="A47" s="30"/>
    </row>
    <row r="48" spans="1:1" x14ac:dyDescent="0.3">
      <c r="A48" t="s">
        <v>168</v>
      </c>
    </row>
    <row r="49" spans="1:1" x14ac:dyDescent="0.3">
      <c r="A49" s="30" t="s">
        <v>169</v>
      </c>
    </row>
    <row r="50" spans="1:1" x14ac:dyDescent="0.3">
      <c r="A50" s="26" t="s">
        <v>170</v>
      </c>
    </row>
    <row r="51" spans="1:1" x14ac:dyDescent="0.3">
      <c r="A51" s="30"/>
    </row>
    <row r="52" spans="1:1" x14ac:dyDescent="0.3">
      <c r="A52" t="s">
        <v>137</v>
      </c>
    </row>
    <row r="53" spans="1:1" x14ac:dyDescent="0.3">
      <c r="A53" s="30" t="s">
        <v>138</v>
      </c>
    </row>
    <row r="54" spans="1:1" x14ac:dyDescent="0.3">
      <c r="A54" s="26" t="s">
        <v>171</v>
      </c>
    </row>
    <row r="55" spans="1:1" x14ac:dyDescent="0.3">
      <c r="A55" s="27" t="s">
        <v>172</v>
      </c>
    </row>
    <row r="56" spans="1:1" x14ac:dyDescent="0.3">
      <c r="A56" s="32"/>
    </row>
    <row r="57" spans="1:1" x14ac:dyDescent="0.3">
      <c r="A57" s="33" t="s">
        <v>173</v>
      </c>
    </row>
    <row r="58" spans="1:1" x14ac:dyDescent="0.3">
      <c r="A58" s="32" t="s">
        <v>174</v>
      </c>
    </row>
    <row r="59" spans="1:1" x14ac:dyDescent="0.3">
      <c r="A59" s="27" t="s">
        <v>175</v>
      </c>
    </row>
    <row r="60" spans="1:1" x14ac:dyDescent="0.3">
      <c r="A60" s="26" t="s">
        <v>176</v>
      </c>
    </row>
    <row r="61" spans="1:1" x14ac:dyDescent="0.3">
      <c r="A61" s="30"/>
    </row>
    <row r="62" spans="1:1" x14ac:dyDescent="0.3">
      <c r="A62" t="s">
        <v>177</v>
      </c>
    </row>
    <row r="63" spans="1:1" x14ac:dyDescent="0.3">
      <c r="A63" s="30" t="s">
        <v>178</v>
      </c>
    </row>
    <row r="64" spans="1:1" x14ac:dyDescent="0.3">
      <c r="A64" s="26" t="s">
        <v>179</v>
      </c>
    </row>
    <row r="65" spans="1:1" x14ac:dyDescent="0.3">
      <c r="A65" s="30"/>
    </row>
    <row r="66" spans="1:1" x14ac:dyDescent="0.3">
      <c r="A66" t="s">
        <v>180</v>
      </c>
    </row>
    <row r="67" spans="1:1" x14ac:dyDescent="0.3">
      <c r="A67" s="30" t="s">
        <v>181</v>
      </c>
    </row>
    <row r="68" spans="1:1" x14ac:dyDescent="0.3">
      <c r="A68" s="26" t="s">
        <v>182</v>
      </c>
    </row>
    <row r="69" spans="1:1" x14ac:dyDescent="0.3">
      <c r="A69" s="30"/>
    </row>
    <row r="70" spans="1:1" x14ac:dyDescent="0.3">
      <c r="A70" t="s">
        <v>183</v>
      </c>
    </row>
    <row r="71" spans="1:1" x14ac:dyDescent="0.3">
      <c r="A71" s="30" t="s">
        <v>184</v>
      </c>
    </row>
    <row r="72" spans="1:1" x14ac:dyDescent="0.3">
      <c r="A72" s="26" t="s">
        <v>185</v>
      </c>
    </row>
    <row r="73" spans="1:1" x14ac:dyDescent="0.3">
      <c r="A73" s="29"/>
    </row>
    <row r="74" spans="1:1" x14ac:dyDescent="0.3">
      <c r="A74" t="s">
        <v>186</v>
      </c>
    </row>
    <row r="75" spans="1:1" x14ac:dyDescent="0.3">
      <c r="A75" s="29" t="s">
        <v>187</v>
      </c>
    </row>
    <row r="76" spans="1:1" x14ac:dyDescent="0.3">
      <c r="A76" s="28" t="s">
        <v>188</v>
      </c>
    </row>
    <row r="77" spans="1:1" x14ac:dyDescent="0.3">
      <c r="A77" s="29"/>
    </row>
    <row r="78" spans="1:1" x14ac:dyDescent="0.3">
      <c r="A78" t="s">
        <v>173</v>
      </c>
    </row>
    <row r="79" spans="1:1" x14ac:dyDescent="0.3">
      <c r="A79" s="29" t="s">
        <v>174</v>
      </c>
    </row>
    <row r="80" spans="1:1" x14ac:dyDescent="0.3">
      <c r="A80" s="28" t="s">
        <v>189</v>
      </c>
    </row>
    <row r="81" spans="1:1" x14ac:dyDescent="0.3">
      <c r="A81" s="29"/>
    </row>
    <row r="82" spans="1:1" x14ac:dyDescent="0.3">
      <c r="A82" t="s">
        <v>190</v>
      </c>
    </row>
    <row r="83" spans="1:1" x14ac:dyDescent="0.3">
      <c r="A83" s="29" t="s">
        <v>191</v>
      </c>
    </row>
    <row r="84" spans="1:1" x14ac:dyDescent="0.3">
      <c r="A84" s="27" t="s">
        <v>192</v>
      </c>
    </row>
    <row r="85" spans="1:1" x14ac:dyDescent="0.3">
      <c r="A85" s="26" t="s">
        <v>193</v>
      </c>
    </row>
    <row r="86" spans="1:1" x14ac:dyDescent="0.3">
      <c r="A86" s="28" t="s">
        <v>194</v>
      </c>
    </row>
    <row r="87" spans="1:1" x14ac:dyDescent="0.3">
      <c r="A87" s="29"/>
    </row>
    <row r="88" spans="1:1" x14ac:dyDescent="0.3">
      <c r="A88" t="s">
        <v>195</v>
      </c>
    </row>
    <row r="89" spans="1:1" x14ac:dyDescent="0.3">
      <c r="A89" s="29" t="s">
        <v>196</v>
      </c>
    </row>
    <row r="90" spans="1:1" x14ac:dyDescent="0.3">
      <c r="A90" s="28" t="s">
        <v>197</v>
      </c>
    </row>
    <row r="91" spans="1:1" x14ac:dyDescent="0.3">
      <c r="A91" s="29"/>
    </row>
    <row r="92" spans="1:1" x14ac:dyDescent="0.3">
      <c r="A92" t="s">
        <v>198</v>
      </c>
    </row>
    <row r="93" spans="1:1" x14ac:dyDescent="0.3">
      <c r="A93" s="29" t="s">
        <v>199</v>
      </c>
    </row>
    <row r="94" spans="1:1" x14ac:dyDescent="0.3">
      <c r="A94" s="26" t="s">
        <v>200</v>
      </c>
    </row>
    <row r="95" spans="1:1" x14ac:dyDescent="0.3">
      <c r="A95" s="30"/>
    </row>
    <row r="96" spans="1:1" x14ac:dyDescent="0.3">
      <c r="A96" t="s">
        <v>201</v>
      </c>
    </row>
    <row r="97" spans="1:1" x14ac:dyDescent="0.3">
      <c r="A97" s="30" t="s">
        <v>202</v>
      </c>
    </row>
    <row r="98" spans="1:1" x14ac:dyDescent="0.3">
      <c r="A98" s="26" t="s">
        <v>203</v>
      </c>
    </row>
    <row r="99" spans="1:1" x14ac:dyDescent="0.3">
      <c r="A99" s="27" t="s">
        <v>204</v>
      </c>
    </row>
    <row r="100" spans="1:1" x14ac:dyDescent="0.3">
      <c r="A100" s="26" t="s">
        <v>205</v>
      </c>
    </row>
    <row r="101" spans="1:1" x14ac:dyDescent="0.3">
      <c r="A101" s="27" t="s">
        <v>206</v>
      </c>
    </row>
    <row r="102" spans="1:1" x14ac:dyDescent="0.3">
      <c r="A102" s="26" t="s">
        <v>207</v>
      </c>
    </row>
    <row r="103" spans="1:1" x14ac:dyDescent="0.3">
      <c r="A103" s="29"/>
    </row>
    <row r="104" spans="1:1" x14ac:dyDescent="0.3">
      <c r="A104" t="s">
        <v>208</v>
      </c>
    </row>
    <row r="105" spans="1:1" x14ac:dyDescent="0.3">
      <c r="A105" s="29" t="s">
        <v>209</v>
      </c>
    </row>
    <row r="106" spans="1:1" x14ac:dyDescent="0.3">
      <c r="A106" s="26" t="s">
        <v>210</v>
      </c>
    </row>
    <row r="108" spans="1:1" x14ac:dyDescent="0.3">
      <c r="A108" s="31" t="s">
        <v>211</v>
      </c>
    </row>
    <row r="109" spans="1:1" x14ac:dyDescent="0.3">
      <c r="A109" s="25"/>
    </row>
    <row r="110" spans="1:1" x14ac:dyDescent="0.3">
      <c r="A110" t="s">
        <v>137</v>
      </c>
    </row>
    <row r="111" spans="1:1" x14ac:dyDescent="0.3">
      <c r="A111" s="25" t="s">
        <v>138</v>
      </c>
    </row>
    <row r="112" spans="1:1" x14ac:dyDescent="0.3">
      <c r="A112" t="s">
        <v>212</v>
      </c>
    </row>
    <row r="113" spans="1:1" x14ac:dyDescent="0.3">
      <c r="A113" s="25"/>
    </row>
    <row r="114" spans="1:1" x14ac:dyDescent="0.3">
      <c r="A114" t="s">
        <v>137</v>
      </c>
    </row>
    <row r="115" spans="1:1" x14ac:dyDescent="0.3">
      <c r="A115" s="25" t="s">
        <v>138</v>
      </c>
    </row>
    <row r="116" spans="1:1" x14ac:dyDescent="0.3">
      <c r="A116" t="s">
        <v>213</v>
      </c>
    </row>
    <row r="117" spans="1:1" x14ac:dyDescent="0.3">
      <c r="A117" s="34" t="s">
        <v>214</v>
      </c>
    </row>
    <row r="118" spans="1:1" x14ac:dyDescent="0.3">
      <c r="A118" t="s">
        <v>215</v>
      </c>
    </row>
    <row r="119" spans="1:1" x14ac:dyDescent="0.3">
      <c r="A119" s="34" t="s">
        <v>216</v>
      </c>
    </row>
    <row r="120" spans="1:1" x14ac:dyDescent="0.3">
      <c r="A120" t="s">
        <v>217</v>
      </c>
    </row>
    <row r="124" spans="1:1" x14ac:dyDescent="0.3">
      <c r="A124" t="s">
        <v>218</v>
      </c>
    </row>
    <row r="129" spans="1:1" x14ac:dyDescent="0.3">
      <c r="A129" s="26" t="s">
        <v>218</v>
      </c>
    </row>
    <row r="130" spans="1:1" x14ac:dyDescent="0.3">
      <c r="A130" t="s">
        <v>219</v>
      </c>
    </row>
    <row r="131" spans="1:1" x14ac:dyDescent="0.3">
      <c r="A131" t="s">
        <v>220</v>
      </c>
    </row>
    <row r="134" spans="1:1" x14ac:dyDescent="0.3">
      <c r="A134" t="s">
        <v>221</v>
      </c>
    </row>
    <row r="135" spans="1:1" x14ac:dyDescent="0.3">
      <c r="A135" t="s">
        <v>222</v>
      </c>
    </row>
    <row r="136" spans="1:1" x14ac:dyDescent="0.3">
      <c r="A136" t="s">
        <v>223</v>
      </c>
    </row>
    <row r="139" spans="1:1" x14ac:dyDescent="0.3">
      <c r="A139" t="s">
        <v>224</v>
      </c>
    </row>
    <row r="140" spans="1:1" x14ac:dyDescent="0.3">
      <c r="A140" t="s">
        <v>225</v>
      </c>
    </row>
    <row r="141" spans="1:1" x14ac:dyDescent="0.3">
      <c r="A141" t="s">
        <v>226</v>
      </c>
    </row>
    <row r="144" spans="1:1" x14ac:dyDescent="0.3">
      <c r="A144" t="s">
        <v>227</v>
      </c>
    </row>
    <row r="145" spans="1:1" x14ac:dyDescent="0.3">
      <c r="A145" t="s">
        <v>228</v>
      </c>
    </row>
    <row r="146" spans="1:1" x14ac:dyDescent="0.3">
      <c r="A146" t="s">
        <v>229</v>
      </c>
    </row>
    <row r="149" spans="1:1" x14ac:dyDescent="0.3">
      <c r="A149" t="s">
        <v>230</v>
      </c>
    </row>
    <row r="150" spans="1:1" x14ac:dyDescent="0.3">
      <c r="A150" t="s">
        <v>231</v>
      </c>
    </row>
    <row r="151" spans="1:1" x14ac:dyDescent="0.3">
      <c r="A151" t="s">
        <v>232</v>
      </c>
    </row>
    <row r="154" spans="1:1" x14ac:dyDescent="0.3">
      <c r="A154" t="s">
        <v>233</v>
      </c>
    </row>
    <row r="155" spans="1:1" x14ac:dyDescent="0.3">
      <c r="A155" t="s">
        <v>234</v>
      </c>
    </row>
    <row r="156" spans="1:1" x14ac:dyDescent="0.3">
      <c r="A156" t="s">
        <v>235</v>
      </c>
    </row>
    <row r="159" spans="1:1" x14ac:dyDescent="0.3">
      <c r="A159" t="s">
        <v>230</v>
      </c>
    </row>
    <row r="160" spans="1:1" x14ac:dyDescent="0.3">
      <c r="A160" t="s">
        <v>236</v>
      </c>
    </row>
    <row r="161" spans="1:1" x14ac:dyDescent="0.3">
      <c r="A161" t="s">
        <v>237</v>
      </c>
    </row>
    <row r="164" spans="1:1" x14ac:dyDescent="0.3">
      <c r="A164" t="s">
        <v>238</v>
      </c>
    </row>
    <row r="165" spans="1:1" x14ac:dyDescent="0.3">
      <c r="A165" t="s">
        <v>239</v>
      </c>
    </row>
    <row r="166" spans="1:1" x14ac:dyDescent="0.3">
      <c r="A166" t="s">
        <v>240</v>
      </c>
    </row>
    <row r="169" spans="1:1" x14ac:dyDescent="0.3">
      <c r="A169" t="s">
        <v>241</v>
      </c>
    </row>
    <row r="170" spans="1:1" x14ac:dyDescent="0.3">
      <c r="A170" t="s">
        <v>242</v>
      </c>
    </row>
    <row r="171" spans="1:1" x14ac:dyDescent="0.3">
      <c r="A171" t="s">
        <v>243</v>
      </c>
    </row>
    <row r="173" spans="1:1" x14ac:dyDescent="0.3">
      <c r="A173" t="s">
        <v>244</v>
      </c>
    </row>
    <row r="178" spans="1:1" x14ac:dyDescent="0.3">
      <c r="A178" t="s">
        <v>218</v>
      </c>
    </row>
    <row r="180" spans="1:1" x14ac:dyDescent="0.3">
      <c r="A180" t="s">
        <v>225</v>
      </c>
    </row>
    <row r="181" spans="1:1" x14ac:dyDescent="0.3">
      <c r="A181" t="s">
        <v>226</v>
      </c>
    </row>
    <row r="184" spans="1:1" x14ac:dyDescent="0.3">
      <c r="A184" t="s">
        <v>227</v>
      </c>
    </row>
    <row r="185" spans="1:1" x14ac:dyDescent="0.3">
      <c r="A185" t="s">
        <v>219</v>
      </c>
    </row>
    <row r="186" spans="1:1" x14ac:dyDescent="0.3">
      <c r="A186" t="s">
        <v>220</v>
      </c>
    </row>
    <row r="189" spans="1:1" x14ac:dyDescent="0.3">
      <c r="A189" t="s">
        <v>221</v>
      </c>
    </row>
    <row r="190" spans="1:1" x14ac:dyDescent="0.3">
      <c r="A190" t="s">
        <v>222</v>
      </c>
    </row>
    <row r="191" spans="1:1" x14ac:dyDescent="0.3">
      <c r="A191" t="s">
        <v>223</v>
      </c>
    </row>
    <row r="194" spans="1:1" x14ac:dyDescent="0.3">
      <c r="A194" t="s">
        <v>224</v>
      </c>
    </row>
    <row r="196" spans="1:1" x14ac:dyDescent="0.3">
      <c r="A196" t="s">
        <v>245</v>
      </c>
    </row>
    <row r="198" spans="1:1" x14ac:dyDescent="0.3">
      <c r="A198" t="s">
        <v>246</v>
      </c>
    </row>
    <row r="199" spans="1:1" x14ac:dyDescent="0.3">
      <c r="A199" t="s">
        <v>247</v>
      </c>
    </row>
    <row r="200" spans="1:1" x14ac:dyDescent="0.3">
      <c r="A200" t="s">
        <v>248</v>
      </c>
    </row>
    <row r="201" spans="1:1" x14ac:dyDescent="0.3">
      <c r="A201" t="s">
        <v>249</v>
      </c>
    </row>
    <row r="202" spans="1:1" x14ac:dyDescent="0.3">
      <c r="A202" t="s">
        <v>250</v>
      </c>
    </row>
    <row r="203" spans="1:1" x14ac:dyDescent="0.3">
      <c r="A203" t="s">
        <v>251</v>
      </c>
    </row>
    <row r="205" spans="1:1" x14ac:dyDescent="0.3">
      <c r="A205" t="s">
        <v>252</v>
      </c>
    </row>
    <row r="206" spans="1:1" x14ac:dyDescent="0.3">
      <c r="A206" s="25"/>
    </row>
    <row r="207" spans="1:1" x14ac:dyDescent="0.3">
      <c r="A207" t="s">
        <v>253</v>
      </c>
    </row>
    <row r="208" spans="1:1" x14ac:dyDescent="0.3">
      <c r="A208" s="25" t="s">
        <v>254</v>
      </c>
    </row>
    <row r="209" spans="1:1" x14ac:dyDescent="0.3">
      <c r="A209" t="s">
        <v>255</v>
      </c>
    </row>
    <row r="210" spans="1:1" x14ac:dyDescent="0.3">
      <c r="A210" t="s">
        <v>256</v>
      </c>
    </row>
    <row r="211" spans="1:1" x14ac:dyDescent="0.3">
      <c r="A211" s="25"/>
    </row>
    <row r="212" spans="1:1" x14ac:dyDescent="0.3">
      <c r="A212" t="s">
        <v>257</v>
      </c>
    </row>
    <row r="213" spans="1:1" x14ac:dyDescent="0.3">
      <c r="A213" s="25" t="s">
        <v>258</v>
      </c>
    </row>
    <row r="215" spans="1:1" x14ac:dyDescent="0.3">
      <c r="A215" t="s">
        <v>259</v>
      </c>
    </row>
    <row r="216" spans="1:1" x14ac:dyDescent="0.3">
      <c r="A216" s="30"/>
    </row>
    <row r="217" spans="1:1" x14ac:dyDescent="0.3">
      <c r="A217" s="30"/>
    </row>
    <row r="218" spans="1:1" x14ac:dyDescent="0.3">
      <c r="A218" t="s">
        <v>260</v>
      </c>
    </row>
    <row r="219" spans="1:1" x14ac:dyDescent="0.3">
      <c r="A219" s="30" t="s">
        <v>261</v>
      </c>
    </row>
    <row r="220" spans="1:1" x14ac:dyDescent="0.3">
      <c r="A220" s="26" t="s">
        <v>262</v>
      </c>
    </row>
    <row r="221" spans="1:1" x14ac:dyDescent="0.3">
      <c r="A221" s="30"/>
    </row>
    <row r="222" spans="1:1" x14ac:dyDescent="0.3">
      <c r="A222" t="s">
        <v>263</v>
      </c>
    </row>
    <row r="223" spans="1:1" x14ac:dyDescent="0.3">
      <c r="A223" s="30" t="s">
        <v>264</v>
      </c>
    </row>
    <row r="224" spans="1:1" x14ac:dyDescent="0.3">
      <c r="A224" s="26" t="s">
        <v>265</v>
      </c>
    </row>
    <row r="225" spans="1:1" x14ac:dyDescent="0.3">
      <c r="A225" s="30"/>
    </row>
    <row r="226" spans="1:1" x14ac:dyDescent="0.3">
      <c r="A226" t="s">
        <v>140</v>
      </c>
    </row>
    <row r="227" spans="1:1" x14ac:dyDescent="0.3">
      <c r="A227" s="30" t="s">
        <v>141</v>
      </c>
    </row>
    <row r="228" spans="1:1" x14ac:dyDescent="0.3">
      <c r="A228" s="26" t="s">
        <v>266</v>
      </c>
    </row>
    <row r="229" spans="1:1" x14ac:dyDescent="0.3">
      <c r="A229" s="30"/>
    </row>
    <row r="230" spans="1:1" x14ac:dyDescent="0.3">
      <c r="A230" t="s">
        <v>253</v>
      </c>
    </row>
    <row r="231" spans="1:1" x14ac:dyDescent="0.3">
      <c r="A231" s="30" t="s">
        <v>254</v>
      </c>
    </row>
    <row r="232" spans="1:1" x14ac:dyDescent="0.3">
      <c r="A232" s="26" t="s">
        <v>267</v>
      </c>
    </row>
    <row r="234" spans="1:1" x14ac:dyDescent="0.3">
      <c r="A234" s="31" t="s">
        <v>268</v>
      </c>
    </row>
    <row r="235" spans="1:1" x14ac:dyDescent="0.3">
      <c r="A235" t="s">
        <v>269</v>
      </c>
    </row>
    <row r="236" spans="1:1" x14ac:dyDescent="0.3">
      <c r="A236" s="25"/>
    </row>
    <row r="237" spans="1:1" x14ac:dyDescent="0.3">
      <c r="A237" t="s">
        <v>137</v>
      </c>
    </row>
    <row r="238" spans="1:1" x14ac:dyDescent="0.3">
      <c r="A238" s="25" t="s">
        <v>138</v>
      </c>
    </row>
    <row r="239" spans="1:1" x14ac:dyDescent="0.3">
      <c r="A239" t="s">
        <v>270</v>
      </c>
    </row>
    <row r="240" spans="1:1" x14ac:dyDescent="0.3">
      <c r="A240" s="25"/>
    </row>
    <row r="241" spans="1:1" x14ac:dyDescent="0.3">
      <c r="A241" t="s">
        <v>260</v>
      </c>
    </row>
    <row r="242" spans="1:1" x14ac:dyDescent="0.3">
      <c r="A242" s="25" t="s">
        <v>261</v>
      </c>
    </row>
    <row r="243" spans="1:1" x14ac:dyDescent="0.3">
      <c r="A243" t="s">
        <v>271</v>
      </c>
    </row>
    <row r="244" spans="1:1" x14ac:dyDescent="0.3">
      <c r="A244" t="s">
        <v>272</v>
      </c>
    </row>
    <row r="245" spans="1:1" x14ac:dyDescent="0.3">
      <c r="A245" s="25"/>
    </row>
    <row r="246" spans="1:1" x14ac:dyDescent="0.3">
      <c r="A246" t="s">
        <v>140</v>
      </c>
    </row>
    <row r="247" spans="1:1" x14ac:dyDescent="0.3">
      <c r="A247" s="25" t="s">
        <v>141</v>
      </c>
    </row>
    <row r="248" spans="1:1" x14ac:dyDescent="0.3">
      <c r="A248" t="s">
        <v>273</v>
      </c>
    </row>
    <row r="249" spans="1:1" x14ac:dyDescent="0.3">
      <c r="A249" s="26"/>
    </row>
    <row r="250" spans="1:1" x14ac:dyDescent="0.3">
      <c r="A250" s="27" t="s">
        <v>274</v>
      </c>
    </row>
    <row r="251" spans="1:1" x14ac:dyDescent="0.3">
      <c r="A251" s="32"/>
    </row>
    <row r="252" spans="1:1" x14ac:dyDescent="0.3">
      <c r="A252" s="33" t="s">
        <v>137</v>
      </c>
    </row>
    <row r="253" spans="1:1" x14ac:dyDescent="0.3">
      <c r="A253" s="32" t="s">
        <v>138</v>
      </c>
    </row>
    <row r="254" spans="1:1" x14ac:dyDescent="0.3">
      <c r="A254" s="27" t="s">
        <v>275</v>
      </c>
    </row>
    <row r="255" spans="1:1" x14ac:dyDescent="0.3">
      <c r="A255" s="26" t="s">
        <v>276</v>
      </c>
    </row>
    <row r="256" spans="1:1" x14ac:dyDescent="0.3">
      <c r="A256" s="30"/>
    </row>
    <row r="257" spans="1:1" x14ac:dyDescent="0.3">
      <c r="A257" s="30"/>
    </row>
    <row r="258" spans="1:1" x14ac:dyDescent="0.3">
      <c r="A258" t="s">
        <v>260</v>
      </c>
    </row>
    <row r="259" spans="1:1" x14ac:dyDescent="0.3">
      <c r="A259" s="30" t="s">
        <v>261</v>
      </c>
    </row>
    <row r="260" spans="1:1" x14ac:dyDescent="0.3">
      <c r="A260" s="26" t="s">
        <v>277</v>
      </c>
    </row>
    <row r="261" spans="1:1" x14ac:dyDescent="0.3">
      <c r="A261" s="27" t="s">
        <v>278</v>
      </c>
    </row>
    <row r="262" spans="1:1" x14ac:dyDescent="0.3">
      <c r="A262" s="32"/>
    </row>
    <row r="263" spans="1:1" x14ac:dyDescent="0.3">
      <c r="A263" s="33" t="s">
        <v>253</v>
      </c>
    </row>
    <row r="264" spans="1:1" x14ac:dyDescent="0.3">
      <c r="A264" s="32" t="s">
        <v>254</v>
      </c>
    </row>
    <row r="265" spans="1:1" x14ac:dyDescent="0.3">
      <c r="A265" s="27" t="s">
        <v>175</v>
      </c>
    </row>
    <row r="266" spans="1:1" x14ac:dyDescent="0.3">
      <c r="A266" s="26" t="s">
        <v>279</v>
      </c>
    </row>
    <row r="267" spans="1:1" x14ac:dyDescent="0.3">
      <c r="A267" s="30"/>
    </row>
    <row r="268" spans="1:1" x14ac:dyDescent="0.3">
      <c r="A268" t="s">
        <v>137</v>
      </c>
    </row>
    <row r="269" spans="1:1" x14ac:dyDescent="0.3">
      <c r="A269" s="30" t="s">
        <v>138</v>
      </c>
    </row>
    <row r="270" spans="1:1" x14ac:dyDescent="0.3">
      <c r="A270" s="26" t="s">
        <v>280</v>
      </c>
    </row>
    <row r="271" spans="1:1" x14ac:dyDescent="0.3">
      <c r="A271" s="30"/>
    </row>
    <row r="272" spans="1:1" x14ac:dyDescent="0.3">
      <c r="A272" t="s">
        <v>253</v>
      </c>
    </row>
    <row r="273" spans="1:1" x14ac:dyDescent="0.3">
      <c r="A273" s="30" t="s">
        <v>254</v>
      </c>
    </row>
    <row r="274" spans="1:1" x14ac:dyDescent="0.3">
      <c r="A274" s="26" t="s">
        <v>281</v>
      </c>
    </row>
    <row r="275" spans="1:1" x14ac:dyDescent="0.3">
      <c r="A275" s="27" t="s">
        <v>282</v>
      </c>
    </row>
    <row r="276" spans="1:1" x14ac:dyDescent="0.3">
      <c r="A276" s="26" t="s">
        <v>283</v>
      </c>
    </row>
    <row r="277" spans="1:1" x14ac:dyDescent="0.3">
      <c r="A277" s="30"/>
    </row>
    <row r="278" spans="1:1" x14ac:dyDescent="0.3">
      <c r="A278" t="s">
        <v>284</v>
      </c>
    </row>
    <row r="279" spans="1:1" x14ac:dyDescent="0.3">
      <c r="A279" s="30" t="s">
        <v>285</v>
      </c>
    </row>
    <row r="280" spans="1:1" x14ac:dyDescent="0.3">
      <c r="A280" s="26" t="s">
        <v>286</v>
      </c>
    </row>
    <row r="281" spans="1:1" x14ac:dyDescent="0.3">
      <c r="A281" s="29"/>
    </row>
    <row r="282" spans="1:1" x14ac:dyDescent="0.3">
      <c r="A282" t="s">
        <v>260</v>
      </c>
    </row>
    <row r="283" spans="1:1" x14ac:dyDescent="0.3">
      <c r="A283" s="29" t="s">
        <v>261</v>
      </c>
    </row>
    <row r="284" spans="1:1" x14ac:dyDescent="0.3">
      <c r="A284" s="28" t="s">
        <v>287</v>
      </c>
    </row>
    <row r="285" spans="1:1" x14ac:dyDescent="0.3">
      <c r="A285" s="29"/>
    </row>
    <row r="286" spans="1:1" x14ac:dyDescent="0.3">
      <c r="A286" t="s">
        <v>253</v>
      </c>
    </row>
    <row r="287" spans="1:1" x14ac:dyDescent="0.3">
      <c r="A287" s="29" t="s">
        <v>254</v>
      </c>
    </row>
    <row r="288" spans="1:1" x14ac:dyDescent="0.3">
      <c r="A288" s="28" t="s">
        <v>288</v>
      </c>
    </row>
    <row r="289" spans="1:1" x14ac:dyDescent="0.3">
      <c r="A289" s="26" t="s">
        <v>289</v>
      </c>
    </row>
    <row r="290" spans="1:1" x14ac:dyDescent="0.3">
      <c r="A290" s="30"/>
    </row>
    <row r="291" spans="1:1" x14ac:dyDescent="0.3">
      <c r="A291" t="s">
        <v>260</v>
      </c>
    </row>
    <row r="292" spans="1:1" x14ac:dyDescent="0.3">
      <c r="A292" s="30" t="s">
        <v>261</v>
      </c>
    </row>
    <row r="293" spans="1:1" x14ac:dyDescent="0.3">
      <c r="A293" s="26" t="s">
        <v>290</v>
      </c>
    </row>
    <row r="294" spans="1:1" x14ac:dyDescent="0.3">
      <c r="A294" s="30"/>
    </row>
    <row r="295" spans="1:1" x14ac:dyDescent="0.3">
      <c r="A295" t="s">
        <v>253</v>
      </c>
    </row>
    <row r="296" spans="1:1" x14ac:dyDescent="0.3">
      <c r="A296" s="30" t="s">
        <v>254</v>
      </c>
    </row>
    <row r="297" spans="1:1" x14ac:dyDescent="0.3">
      <c r="A297" s="26" t="s">
        <v>291</v>
      </c>
    </row>
    <row r="298" spans="1:1" x14ac:dyDescent="0.3">
      <c r="A298" s="30"/>
    </row>
    <row r="299" spans="1:1" x14ac:dyDescent="0.3">
      <c r="A299" t="s">
        <v>140</v>
      </c>
    </row>
    <row r="300" spans="1:1" x14ac:dyDescent="0.3">
      <c r="A300" s="30" t="s">
        <v>141</v>
      </c>
    </row>
    <row r="301" spans="1:1" x14ac:dyDescent="0.3">
      <c r="A301" s="26" t="s">
        <v>292</v>
      </c>
    </row>
    <row r="303" spans="1:1" x14ac:dyDescent="0.3">
      <c r="A303" s="31" t="s">
        <v>293</v>
      </c>
    </row>
    <row r="304" spans="1:1" x14ac:dyDescent="0.3">
      <c r="A304" t="s">
        <v>294</v>
      </c>
    </row>
    <row r="305" spans="1:1" x14ac:dyDescent="0.3">
      <c r="A305" t="s">
        <v>295</v>
      </c>
    </row>
    <row r="306" spans="1:1" x14ac:dyDescent="0.3">
      <c r="A306" s="31" t="s">
        <v>296</v>
      </c>
    </row>
    <row r="307" spans="1:1" x14ac:dyDescent="0.3">
      <c r="A307" s="26"/>
    </row>
    <row r="308" spans="1:1" x14ac:dyDescent="0.3">
      <c r="A308" s="27" t="s">
        <v>297</v>
      </c>
    </row>
    <row r="309" spans="1:1" x14ac:dyDescent="0.3">
      <c r="A309" s="30"/>
    </row>
    <row r="310" spans="1:1" x14ac:dyDescent="0.3">
      <c r="A310" t="s">
        <v>140</v>
      </c>
    </row>
    <row r="311" spans="1:1" x14ac:dyDescent="0.3">
      <c r="A311" s="30" t="s">
        <v>141</v>
      </c>
    </row>
    <row r="312" spans="1:1" x14ac:dyDescent="0.3">
      <c r="A312" s="26" t="s">
        <v>298</v>
      </c>
    </row>
    <row r="313" spans="1:1" x14ac:dyDescent="0.3">
      <c r="A313" s="30"/>
    </row>
    <row r="314" spans="1:1" x14ac:dyDescent="0.3">
      <c r="A314" t="s">
        <v>260</v>
      </c>
    </row>
    <row r="315" spans="1:1" x14ac:dyDescent="0.3">
      <c r="A315" s="30" t="s">
        <v>261</v>
      </c>
    </row>
    <row r="316" spans="1:1" x14ac:dyDescent="0.3">
      <c r="A316" s="26" t="s">
        <v>299</v>
      </c>
    </row>
    <row r="317" spans="1:1" x14ac:dyDescent="0.3">
      <c r="A317" s="30"/>
    </row>
    <row r="318" spans="1:1" x14ac:dyDescent="0.3">
      <c r="A318" t="s">
        <v>253</v>
      </c>
    </row>
    <row r="319" spans="1:1" x14ac:dyDescent="0.3">
      <c r="A319" s="30" t="s">
        <v>254</v>
      </c>
    </row>
    <row r="320" spans="1:1" x14ac:dyDescent="0.3">
      <c r="A320" s="26" t="s">
        <v>300</v>
      </c>
    </row>
    <row r="321" spans="1:1" x14ac:dyDescent="0.3">
      <c r="A321" s="27" t="s">
        <v>301</v>
      </c>
    </row>
    <row r="322" spans="1:1" x14ac:dyDescent="0.3">
      <c r="A322" s="30"/>
    </row>
    <row r="323" spans="1:1" x14ac:dyDescent="0.3">
      <c r="A323" t="s">
        <v>260</v>
      </c>
    </row>
    <row r="324" spans="1:1" x14ac:dyDescent="0.3">
      <c r="A324" s="30" t="s">
        <v>261</v>
      </c>
    </row>
    <row r="325" spans="1:1" x14ac:dyDescent="0.3">
      <c r="A325" s="26" t="s">
        <v>302</v>
      </c>
    </row>
    <row r="326" spans="1:1" x14ac:dyDescent="0.3">
      <c r="A326" s="30"/>
    </row>
    <row r="327" spans="1:1" x14ac:dyDescent="0.3">
      <c r="A327" t="s">
        <v>253</v>
      </c>
    </row>
    <row r="328" spans="1:1" x14ac:dyDescent="0.3">
      <c r="A328" s="30" t="s">
        <v>254</v>
      </c>
    </row>
    <row r="329" spans="1:1" x14ac:dyDescent="0.3">
      <c r="A329" s="26" t="s">
        <v>303</v>
      </c>
    </row>
    <row r="331" spans="1:1" x14ac:dyDescent="0.3">
      <c r="A331" t="s">
        <v>304</v>
      </c>
    </row>
  </sheetData>
  <hyperlinks>
    <hyperlink ref="A117" r:id="rId1" display="https://support.google.com/websearch?p=aimode"/>
    <hyperlink ref="A119" r:id="rId2" display="https://policies.google.com/privacy?hl=en"/>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Alpha</vt:lpstr>
      <vt:lpstr>ETA</vt:lpstr>
      <vt:lpstr>MPP-III</vt:lpstr>
      <vt:lpstr>Condenser_Size</vt:lpstr>
      <vt:lpstr>Data</vt:lpstr>
      <vt:lpstr>Information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Singh</dc:creator>
  <cp:lastModifiedBy>Rohit Singh</cp:lastModifiedBy>
  <dcterms:created xsi:type="dcterms:W3CDTF">2025-07-23T08:35:11Z</dcterms:created>
  <dcterms:modified xsi:type="dcterms:W3CDTF">2025-11-25T10:18:35Z</dcterms:modified>
</cp:coreProperties>
</file>